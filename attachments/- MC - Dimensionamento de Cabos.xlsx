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hidePivotFieldList="1"/>
  <xr:revisionPtr revIDLastSave="0" documentId="13_ncr:1_{A1DA4BFF-CF84-4AEE-87E1-92D33BCF005D}" xr6:coauthVersionLast="47" xr6:coauthVersionMax="47" xr10:uidLastSave="{00000000-0000-0000-0000-000000000000}"/>
  <bookViews>
    <workbookView xWindow="-108" yWindow="-108" windowWidth="23256" windowHeight="12456" tabRatio="639" xr2:uid="{00000000-000D-0000-FFFF-FFFF00000000}"/>
  </bookViews>
  <sheets>
    <sheet name="PRINCIPAL" sheetId="1" r:id="rId1"/>
    <sheet name="Cabos" sheetId="17" r:id="rId2"/>
    <sheet name="Resistência" sheetId="14" r:id="rId3"/>
    <sheet name="tensão" sheetId="20" r:id="rId4"/>
    <sheet name="Fatores de correção" sheetId="12" r:id="rId5"/>
    <sheet name="CABLES1" sheetId="3" r:id="rId6"/>
    <sheet name="MOTOR" sheetId="7" r:id="rId7"/>
    <sheet name="INSTALAÇÃO" sheetId="8" r:id="rId8"/>
  </sheets>
  <definedNames>
    <definedName name="_xlnm._FilterDatabase" localSheetId="0" hidden="1">PRINCIPAL!$A$2:$AU$61</definedName>
    <definedName name="_xlnm.Print_Area" localSheetId="0">PRINCIPAL!$A$1:$AP$16</definedName>
    <definedName name="CABLES1">CABLES1!$A$2:$K$19</definedName>
    <definedName name="CABLES2">CABLES1!$M$2:$V$19</definedName>
    <definedName name="CABLES3">#REF!</definedName>
    <definedName name="CABLES4" localSheetId="7">INSTALAÇÃO!$A$1:$J$18</definedName>
    <definedName name="CABLES4" localSheetId="6">MOTOR!$A$1:$J$18</definedName>
    <definedName name="CABLES4">#REF!</definedName>
    <definedName name="D">PRINCIPAL!$AW$2</definedName>
    <definedName name="MÉTODO">CABLES1!$A$22:$F$22</definedName>
    <definedName name="MOTOR" localSheetId="7">INSTALAÇÃO!$A$1:$H$38</definedName>
    <definedName name="MOTOR">MOTOR!$A$1:$H$38</definedName>
    <definedName name="NOME">CABLES1!$A$21:$B$38</definedName>
    <definedName name="PRINCIPAL">PRINCIPAL!$A$1:$AU$750</definedName>
    <definedName name="SOURC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R3" i="1"/>
  <c r="O3" i="1"/>
  <c r="H3" i="1" l="1"/>
  <c r="P3" i="1" l="1"/>
  <c r="J3" i="1"/>
  <c r="I3" i="1"/>
  <c r="AN3" i="1" l="1"/>
  <c r="S3" i="1"/>
  <c r="W3" i="1"/>
  <c r="X3" i="1"/>
  <c r="V3" i="1"/>
  <c r="AE3" i="1" l="1" a="1"/>
  <c r="AE3" i="1" s="1"/>
  <c r="AF3" i="1" s="1" a="1"/>
  <c r="AF3" i="1" s="1"/>
  <c r="AM3" i="1"/>
  <c r="AO3" i="1" l="1" a="1"/>
  <c r="AO3" i="1" s="1"/>
  <c r="Y3" i="1"/>
  <c r="AG3" i="1" s="1"/>
  <c r="T3" i="1" l="1"/>
  <c r="AB3" i="1"/>
  <c r="AJ3" i="1" l="1"/>
  <c r="AI3" i="1"/>
  <c r="AC3" i="1" a="1"/>
  <c r="AC3" i="1" s="1"/>
  <c r="U3" i="1" s="1"/>
  <c r="AT3" i="1"/>
  <c r="AH3" i="1"/>
  <c r="AL3" i="1" l="1"/>
  <c r="AS3" i="1"/>
  <c r="AU3" i="1" s="1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AP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00000000-0006-0000-0000-000002000000}">
      <text>
        <r>
          <rPr>
            <b/>
            <sz val="10"/>
            <color indexed="81"/>
            <rFont val="Segoe UI"/>
            <family val="2"/>
          </rPr>
          <t xml:space="preserve">B1 - Eletroduto Aparente  ou Eletrocalha (Cabo Unipolar)
B2 -  Eletroduto Aparente  ou Eletrocalha (Cabo Multipolar)
D - Envelope ou Cabo Diretamente Enterrado
E - Eletrocalha Perfurada ou Leito (Cabo Multipolar)
F - Eletrocalha Perfurada ou Leito (Cabo Unipolar)
</t>
        </r>
      </text>
    </comment>
    <comment ref="N2" authorId="0" shapeId="0" xr:uid="{ECD72DD7-0503-4C23-ACA6-6D70592D2FDE}">
      <text>
        <r>
          <rPr>
            <b/>
            <sz val="10"/>
            <color indexed="81"/>
            <rFont val="Segoe UI"/>
            <family val="2"/>
          </rPr>
          <t xml:space="preserve">          2          3
---------------------
D   - 0,85     0,75
B1  - 0,8       0,7
B2  - 0,8       0,7
E/F - 0,87    0,82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<sst xmlns="http://schemas.openxmlformats.org/spreadsheetml/2006/main" count="1148" uniqueCount="371">
  <si>
    <t>V</t>
  </si>
  <si>
    <t>SECCION (mm2)</t>
  </si>
  <si>
    <t>RCA (ohm/km)</t>
  </si>
  <si>
    <t>F.P.</t>
  </si>
  <si>
    <t>Ib</t>
  </si>
  <si>
    <t>RCA</t>
  </si>
  <si>
    <t>XL</t>
  </si>
  <si>
    <t>CK</t>
  </si>
  <si>
    <t>Imax  (A)</t>
  </si>
  <si>
    <t>Diâmetro</t>
  </si>
  <si>
    <t xml:space="preserve"> Externo (trifolio)</t>
  </si>
  <si>
    <t xml:space="preserve">XL           </t>
  </si>
  <si>
    <t xml:space="preserve">           (ohm/km)</t>
  </si>
  <si>
    <t>2 Condutres Carregados</t>
  </si>
  <si>
    <t>3 Condutres Carregados</t>
  </si>
  <si>
    <t>* Método de instalação: D   /   EPR/PVC</t>
  </si>
  <si>
    <t>Cabos Bi e Tripolares</t>
  </si>
  <si>
    <t>Cabos Unipolar Trifólio</t>
  </si>
  <si>
    <t>* Método de instalação: B2   /   EPR/PVC</t>
  </si>
  <si>
    <t>-</t>
  </si>
  <si>
    <t xml:space="preserve"> Externo (tri)</t>
  </si>
  <si>
    <t xml:space="preserve"> Tripolares</t>
  </si>
  <si>
    <t>RCC</t>
  </si>
  <si>
    <t>CA</t>
  </si>
  <si>
    <t>3 Condutores Carregados</t>
  </si>
  <si>
    <t>x</t>
  </si>
  <si>
    <t>* Método de instalação: B1   /   EPR/PVC</t>
  </si>
  <si>
    <t>F.a</t>
  </si>
  <si>
    <t>F. t</t>
  </si>
  <si>
    <t>F. R</t>
  </si>
  <si>
    <t>Potência</t>
  </si>
  <si>
    <t>rend</t>
  </si>
  <si>
    <t>f.p</t>
  </si>
  <si>
    <t>Corrente nominal em 220 V (A)</t>
  </si>
  <si>
    <t>Peso aprox. (kg)</t>
  </si>
  <si>
    <t>cv</t>
  </si>
  <si>
    <t>kW</t>
  </si>
  <si>
    <t>Carcaça</t>
  </si>
  <si>
    <t>rpm</t>
  </si>
  <si>
    <t>4 Pólos - 60 Hz</t>
  </si>
  <si>
    <t>90S</t>
  </si>
  <si>
    <t>90L</t>
  </si>
  <si>
    <t>100L</t>
  </si>
  <si>
    <t>112M</t>
  </si>
  <si>
    <t>132S</t>
  </si>
  <si>
    <t>132M</t>
  </si>
  <si>
    <t>132M/L</t>
  </si>
  <si>
    <t>160L</t>
  </si>
  <si>
    <t>160M</t>
  </si>
  <si>
    <t>180M</t>
  </si>
  <si>
    <t>200M</t>
  </si>
  <si>
    <t>200L</t>
  </si>
  <si>
    <t>225S/M</t>
  </si>
  <si>
    <t>250S/M</t>
  </si>
  <si>
    <t>280S/M</t>
  </si>
  <si>
    <t>315S/M</t>
  </si>
  <si>
    <t>355M/L</t>
  </si>
  <si>
    <t>355M/L*</t>
  </si>
  <si>
    <t>EPROTENAX, EPROTENAX GSETTE E AFUMEX</t>
  </si>
  <si>
    <t>TRIPOLARES E TETRAPOLARES</t>
  </si>
  <si>
    <t>UNIPOLAR - TRIFÓLIO</t>
  </si>
  <si>
    <t>FP=0,8</t>
  </si>
  <si>
    <t>FP=0,95</t>
  </si>
  <si>
    <t>D</t>
  </si>
  <si>
    <t>V/A.km</t>
  </si>
  <si>
    <t>Efficiência</t>
  </si>
  <si>
    <t>Dist.</t>
  </si>
  <si>
    <t>mm²</t>
  </si>
  <si>
    <t>B2</t>
  </si>
  <si>
    <t>B1</t>
  </si>
  <si>
    <t>* Método de instalação: E   /   EPR/PVC</t>
  </si>
  <si>
    <t>* Método de instalação: F   /   EPR/PVC</t>
  </si>
  <si>
    <t>F</t>
  </si>
  <si>
    <t>E</t>
  </si>
  <si>
    <t>Circuito</t>
  </si>
  <si>
    <t>De</t>
  </si>
  <si>
    <t>Para</t>
  </si>
  <si>
    <t>kVA</t>
  </si>
  <si>
    <t>(m)</t>
  </si>
  <si>
    <t>Impedância (Ohm/km)</t>
  </si>
  <si>
    <t>Isc (kA)</t>
  </si>
  <si>
    <t>Loc.</t>
  </si>
  <si>
    <t>Cab.</t>
  </si>
  <si>
    <t>t (s)</t>
  </si>
  <si>
    <t>Equipamento</t>
  </si>
  <si>
    <t>1x2</t>
  </si>
  <si>
    <t>1x3</t>
  </si>
  <si>
    <t>1x4</t>
  </si>
  <si>
    <t>3x1</t>
  </si>
  <si>
    <t>4x1</t>
  </si>
  <si>
    <t>1x3 BL</t>
  </si>
  <si>
    <t>Eletroduto</t>
  </si>
  <si>
    <t>ø</t>
  </si>
  <si>
    <t>CARACT. ELETR.</t>
  </si>
  <si>
    <t>IN</t>
  </si>
  <si>
    <t>mm</t>
  </si>
  <si>
    <t>ø ELETR.</t>
  </si>
  <si>
    <t>3 COND. (40%)</t>
  </si>
  <si>
    <t>2 COND.(31%)</t>
  </si>
  <si>
    <t>1 COND. (53%)</t>
  </si>
  <si>
    <t>DIÂMETRO EXTERNO DOS CONDUTORES</t>
  </si>
  <si>
    <t>Eprotenax Conc.</t>
  </si>
  <si>
    <t>Característica do
Condutor</t>
  </si>
  <si>
    <t>EPROTENAX GSETTE 0,6/1kV</t>
  </si>
  <si>
    <t>mm2</t>
  </si>
  <si>
    <t>Seção</t>
  </si>
  <si>
    <t>Formação do Cabo</t>
  </si>
  <si>
    <t>n / fase</t>
  </si>
  <si>
    <t>h</t>
  </si>
  <si>
    <t>φ</t>
  </si>
  <si>
    <t>3/8"</t>
  </si>
  <si>
    <t>1/2"</t>
  </si>
  <si>
    <t>3/4"</t>
  </si>
  <si>
    <t>1"</t>
  </si>
  <si>
    <t>2"</t>
  </si>
  <si>
    <t>3"</t>
  </si>
  <si>
    <t>4"</t>
  </si>
  <si>
    <t>5"</t>
  </si>
  <si>
    <t>6"</t>
  </si>
  <si>
    <t>1.1/2"</t>
  </si>
  <si>
    <t>2.1/2"</t>
  </si>
  <si>
    <t>3.1/2"</t>
  </si>
  <si>
    <t>4.1/2"</t>
  </si>
  <si>
    <t>n / Eletr.</t>
  </si>
  <si>
    <t>Corrente (A)</t>
  </si>
  <si>
    <t>Máx. (%)</t>
  </si>
  <si>
    <t>DISJUNTOR</t>
  </si>
  <si>
    <t>(A) Cabo</t>
  </si>
  <si>
    <t>Demarradores (A)</t>
  </si>
  <si>
    <t>Disj.</t>
  </si>
  <si>
    <t>T. DE CORRENTE</t>
  </si>
  <si>
    <t>TC</t>
  </si>
  <si>
    <t>440V</t>
  </si>
  <si>
    <t>380V</t>
  </si>
  <si>
    <t>220V</t>
  </si>
  <si>
    <t>460V</t>
  </si>
  <si>
    <t>contator</t>
  </si>
  <si>
    <t>relé</t>
  </si>
  <si>
    <t>0,55-0,8</t>
  </si>
  <si>
    <t>0,45-0,63</t>
  </si>
  <si>
    <t>9</t>
  </si>
  <si>
    <t>0,9-1,25</t>
  </si>
  <si>
    <t>4</t>
  </si>
  <si>
    <t>0,7-1</t>
  </si>
  <si>
    <t>1,1-1,6</t>
  </si>
  <si>
    <t>1,8-2,5</t>
  </si>
  <si>
    <t>6</t>
  </si>
  <si>
    <t>2,2-3,2</t>
  </si>
  <si>
    <t>1,4-2</t>
  </si>
  <si>
    <t>2,8-4</t>
  </si>
  <si>
    <t>10</t>
  </si>
  <si>
    <t>3,5-5</t>
  </si>
  <si>
    <t>5,5-8</t>
  </si>
  <si>
    <t>20</t>
  </si>
  <si>
    <t>7-10</t>
  </si>
  <si>
    <t>4,5-6,3</t>
  </si>
  <si>
    <t>12</t>
  </si>
  <si>
    <t>9-12</t>
  </si>
  <si>
    <t>18</t>
  </si>
  <si>
    <t>11-16</t>
  </si>
  <si>
    <t>25</t>
  </si>
  <si>
    <t>17-22</t>
  </si>
  <si>
    <t>16</t>
  </si>
  <si>
    <t>32</t>
  </si>
  <si>
    <t>22-32</t>
  </si>
  <si>
    <t>14-20</t>
  </si>
  <si>
    <t>15-25</t>
  </si>
  <si>
    <t>40</t>
  </si>
  <si>
    <t>28-40</t>
  </si>
  <si>
    <t>63</t>
  </si>
  <si>
    <t>50</t>
  </si>
  <si>
    <t>40-50</t>
  </si>
  <si>
    <t>65</t>
  </si>
  <si>
    <t>45-63</t>
  </si>
  <si>
    <t>80</t>
  </si>
  <si>
    <t>57-75</t>
  </si>
  <si>
    <t>112</t>
  </si>
  <si>
    <t>50-200</t>
  </si>
  <si>
    <t>125</t>
  </si>
  <si>
    <t>160</t>
  </si>
  <si>
    <t>95</t>
  </si>
  <si>
    <t>70-90</t>
  </si>
  <si>
    <t>180</t>
  </si>
  <si>
    <t>105</t>
  </si>
  <si>
    <t>55-250</t>
  </si>
  <si>
    <t>250</t>
  </si>
  <si>
    <t>150</t>
  </si>
  <si>
    <t>200-540</t>
  </si>
  <si>
    <t>300</t>
  </si>
  <si>
    <t>315</t>
  </si>
  <si>
    <t>400</t>
  </si>
  <si>
    <t>490</t>
  </si>
  <si>
    <t>630</t>
  </si>
  <si>
    <t>800</t>
  </si>
  <si>
    <t>R</t>
  </si>
  <si>
    <t>K</t>
  </si>
  <si>
    <t>Disj. Motor</t>
  </si>
  <si>
    <t>(kW )</t>
  </si>
  <si>
    <t>0,4-0,63A</t>
  </si>
  <si>
    <t>0,63-1A</t>
  </si>
  <si>
    <t>4-6,3</t>
  </si>
  <si>
    <t>32-40</t>
  </si>
  <si>
    <t>0,63-0,8</t>
  </si>
  <si>
    <t>1,2-1,8</t>
  </si>
  <si>
    <t>1,8-2,8</t>
  </si>
  <si>
    <t>5,6-8</t>
  </si>
  <si>
    <t>10-15</t>
  </si>
  <si>
    <t>11-17</t>
  </si>
  <si>
    <t>15-23</t>
  </si>
  <si>
    <t>50-63</t>
  </si>
  <si>
    <t>40-57</t>
  </si>
  <si>
    <t>63-80</t>
  </si>
  <si>
    <t>75-97</t>
  </si>
  <si>
    <t>100-150</t>
  </si>
  <si>
    <t>0,63</t>
  </si>
  <si>
    <t>0,8-1,2</t>
  </si>
  <si>
    <t>140-215</t>
  </si>
  <si>
    <t>185</t>
  </si>
  <si>
    <t>200-310</t>
  </si>
  <si>
    <t>320</t>
  </si>
  <si>
    <t>275-420</t>
  </si>
  <si>
    <t>420</t>
  </si>
  <si>
    <t>500</t>
  </si>
  <si>
    <t>400-600</t>
  </si>
  <si>
    <t>700</t>
  </si>
  <si>
    <t>7</t>
  </si>
  <si>
    <t>8-12,5</t>
  </si>
  <si>
    <t>32-50</t>
  </si>
  <si>
    <t>90-112</t>
  </si>
  <si>
    <t>560-840</t>
  </si>
  <si>
    <t>57-70</t>
  </si>
  <si>
    <t>1000</t>
  </si>
  <si>
    <t>I'p</t>
  </si>
  <si>
    <t>Ip'd</t>
  </si>
  <si>
    <t>Isc
(kA)</t>
  </si>
  <si>
    <t>CV</t>
  </si>
  <si>
    <t>Isolação</t>
  </si>
  <si>
    <t>Temp.</t>
  </si>
  <si>
    <t>Isol.</t>
  </si>
  <si>
    <t>HEPR</t>
  </si>
  <si>
    <t>PVC</t>
  </si>
  <si>
    <t>Afumex Green</t>
  </si>
  <si>
    <t>LSHF/A</t>
  </si>
  <si>
    <t>Tabela 3 - Seção Mínima do Condutor Neutro</t>
  </si>
  <si>
    <t>Seção dos condutores de fase (mm²)</t>
  </si>
  <si>
    <t>Seção do condutor neutro (mm²)</t>
  </si>
  <si>
    <t>S ≤ 25</t>
  </si>
  <si>
    <t>S</t>
  </si>
  <si>
    <t>Seção dos condutores de fase, S mm²</t>
  </si>
  <si>
    <t>Seção mínima do condutor de proteção correspondente mm²</t>
  </si>
  <si>
    <t>S ≤ 16</t>
  </si>
  <si>
    <t>16 &lt; S ≤ 35</t>
  </si>
  <si>
    <t>16 (1)</t>
  </si>
  <si>
    <t>S &gt; 35</t>
  </si>
  <si>
    <t>S/2 (1)</t>
  </si>
  <si>
    <t>Tabela 4 - Seção Mínima do Condutor de Proteção (PE)</t>
  </si>
  <si>
    <t>Cobre</t>
  </si>
  <si>
    <t>Alumínio</t>
  </si>
  <si>
    <t>Tabela 13 - Fatores de correção aplicáveis a condutores agrupados em feixe (em linhas abertas ou fechadas) e a condutores agrupados num mesmo plano, em camada única</t>
  </si>
  <si>
    <t>Método de instalação</t>
  </si>
  <si>
    <t>Métodos A a F</t>
  </si>
  <si>
    <t>Método C</t>
  </si>
  <si>
    <t>Métodos E e F</t>
  </si>
  <si>
    <t>Tabela 14 - Fatores de correção aplicáveis a agrupamentos consistindo em mais de uma camada de condutores - Métodos de Referência C, E e F</t>
  </si>
  <si>
    <t>Quantidade de camadas</t>
  </si>
  <si>
    <t>Quantidade de circuitos trifásicos ou de cabos multipolares por camada - 2</t>
  </si>
  <si>
    <t>Quantidade de circuitos trifásicos ou de cabos multipolares por camada - 3</t>
  </si>
  <si>
    <t>Quantidade de circuitos trifásicos ou de cabos multipolares por camada - 4 ou 5</t>
  </si>
  <si>
    <t>Quantidade de circuitos trifásicos ou de cabos multipolares por camada - 6 a 8</t>
  </si>
  <si>
    <t>Quantidade de circuitos trifásicos ou de cabos multipolares por camada - 9 e mais</t>
  </si>
  <si>
    <t>4 ou 5</t>
  </si>
  <si>
    <t>6 a 8</t>
  </si>
  <si>
    <t>9 e mais</t>
  </si>
  <si>
    <t>Número de circuitos</t>
  </si>
  <si>
    <t>Tabela 16 - Fatores de redução para mais do que um circuito formado por cabo multipolar em duto individual enterrado</t>
  </si>
  <si>
    <t>Distância entre dutos(1) (a) - Nula</t>
  </si>
  <si>
    <t>Distância entre dutos(1) (a) - 0,25 m</t>
  </si>
  <si>
    <t>Distância entre dutos(1) (a) - 0,5 m</t>
  </si>
  <si>
    <t>Distância entre dutos(1) (a) - 1,0 m</t>
  </si>
  <si>
    <t>Tabela 17 - Fatores de redução para mais do que um circuito formado por cabos unipolares em dutos individuais enterrados</t>
  </si>
  <si>
    <t>Número de circuitos (grupo de dois ou três condutores)</t>
  </si>
  <si>
    <t>Seção nominal (mm²)</t>
  </si>
  <si>
    <t>Tabela 22 - Queda de Tensão - Sintenax Flex (cobre)</t>
  </si>
  <si>
    <t>Tabela 23 - Queda de Tensão - GSette Easy (cobre) e Afumex Flex (cobre)</t>
  </si>
  <si>
    <t>Tabela 37 - Valores de k</t>
  </si>
  <si>
    <t>Material do Condutor</t>
  </si>
  <si>
    <t>Superastic, Superastic Flex, Sintenax, Sintenax Flex - ≤ 300 mm²</t>
  </si>
  <si>
    <t>Superastic, Superastic Flex, Sintenax, Sintenax Flex - &gt; 300 mm²</t>
  </si>
  <si>
    <t>GSette Easy, Voltalene, Voltenax, Afumex Flex</t>
  </si>
  <si>
    <t>Inicial - 70ºC / Final - 160 ºC / k - Cobre: 115 / Alumínio: 76</t>
  </si>
  <si>
    <t>Inicial - 70ºC / Final - 140 ºC / k - Cobre: 103 / Alumínio: 68</t>
  </si>
  <si>
    <t>Inicial - 90ºC / Final - 250 ºC / k - Cobre: 143 (*) / Alumínio: 94</t>
  </si>
  <si>
    <t>(*) Condutor de cobre e conexões (emendas e terminais) soldadas com liga de estanho/chumbo, a temperatura fica limitada a cerca de 160°C para preservar a solda. Utilizar k = 100</t>
  </si>
  <si>
    <t>Tabela 38 - Fator k - Condutor de proteção isolado não incorporado a cabo multipolar e não enfeixado com outros cabos</t>
  </si>
  <si>
    <t>Material do condutor</t>
  </si>
  <si>
    <t>Isolação - PVC ≤300 mm²</t>
  </si>
  <si>
    <t>Isolação - PVC &gt;300 mm²</t>
  </si>
  <si>
    <t>Isolação - EPR ou XLPE</t>
  </si>
  <si>
    <t>Isolação - LSHF/A</t>
  </si>
  <si>
    <t>176 (*)</t>
  </si>
  <si>
    <t>Aço</t>
  </si>
  <si>
    <t>Temperatura inicial: 30ºC. Temperatura final: PVC até 300 mm²: 160ºC. PVC &gt; 300 mm²: 140ºC. EPR e XLPE: 250ºC. LSHF/A: 160ºC. (*)Conexão soldada: k = 143</t>
  </si>
  <si>
    <t>Tabela 39 - Fator k - Condutor de proteção nu em contato com a cobertura de cabo, mas não enfeixado com outros cabos</t>
  </si>
  <si>
    <t>Cobertura do cabo - PVC</t>
  </si>
  <si>
    <t>Cobertura do cabo - Polietileno</t>
  </si>
  <si>
    <t>Cobertura do cabo - SHF1</t>
  </si>
  <si>
    <t>159 (*)</t>
  </si>
  <si>
    <t>151 (*)</t>
  </si>
  <si>
    <t>Temperatura inicial: 30ºC. (*)Conexão soldada: k = 143. Temperatura final: PVC: 200ºC. Polietileno: 150ºC. SHF1: 180ºC</t>
  </si>
  <si>
    <t>Tabela 40 - Fator k - Condutor de proteção constituído por veia de cabo multipolar ou enfeixado com outros cabos, ou condutores isolados</t>
  </si>
  <si>
    <t>PVC ≤300 mm²</t>
  </si>
  <si>
    <t>PVC &gt;300 mm²</t>
  </si>
  <si>
    <t>EPR ou XLPE</t>
  </si>
  <si>
    <t>143 (*)</t>
  </si>
  <si>
    <t>(*)Conexão soldada: k = 100. Temperatura inicial: 70ºC para o PVC e LSHF/A. 90ºC para o EPR e XLPE. Temperatura final: PVC até 300 mm²: 160ºC. PVC &gt; 300 mm²: 140ºC. EPR e XLPE: 250ºC. LSHF/A: 160ºC</t>
  </si>
  <si>
    <t>Tabela 41 - Fator k - Condutor de proteção constituído pela armação, capa metálica ou condutor concêntrico</t>
  </si>
  <si>
    <t>Isolação - PVC</t>
  </si>
  <si>
    <t>141 (*)</t>
  </si>
  <si>
    <t>128 (*)</t>
  </si>
  <si>
    <t>Chumbo</t>
  </si>
  <si>
    <t>Temperatura inicial: 60º C para o PVC. 80ºC para o EPR e XLPE. Temperatura final: 200ºC para PVC, EPR ou XLPE. (*)Conexão soldada: k =122 PVC. k = 108 (EPR ou XLPE)</t>
  </si>
  <si>
    <t>Tabela 42 - Fator k - Condutor de proteção nu onde não houver risco de que as temperaturas indicadas possam danificar qualquer material adjacente</t>
  </si>
  <si>
    <t>Condições</t>
  </si>
  <si>
    <t>Temperatura inicial ºC</t>
  </si>
  <si>
    <t>Material do condutor - Cobre - Fator k</t>
  </si>
  <si>
    <t>Material do condutor - Cobre - Temperatura máxima ºC</t>
  </si>
  <si>
    <t>Material do condutor - Alumínio - Fator k</t>
  </si>
  <si>
    <t>Material do condutor - Alumínio - Temperatura máxima ºC</t>
  </si>
  <si>
    <t>Material do condutor - Aço - Fator k</t>
  </si>
  <si>
    <t>Material do condutor - Aço - Temperatura máxima ºC</t>
  </si>
  <si>
    <t>Visível e em áreas restritas</t>
  </si>
  <si>
    <t>228 (*)</t>
  </si>
  <si>
    <t>Condições normais</t>
  </si>
  <si>
    <t>Risco de incêndio</t>
  </si>
  <si>
    <t>(*) k = 143 para conexões soldadas</t>
  </si>
  <si>
    <t>Tabela para Temperaturas em Sobrecarga (Página 47)</t>
  </si>
  <si>
    <t>Regime Permanente</t>
  </si>
  <si>
    <t>Regime Sobrecarga</t>
  </si>
  <si>
    <t>PVC e LSHF/A</t>
  </si>
  <si>
    <t>EPR e XLPE</t>
  </si>
  <si>
    <t>Tabela 18 - Resistência Elétrica em Corrente Contínua a 20 °C</t>
  </si>
  <si>
    <t>Seção nominal mm²</t>
  </si>
  <si>
    <t>Classe 2 Compactado ou Não - Cobre</t>
  </si>
  <si>
    <t>Classe 2 Compactado ou Não - Alumínio</t>
  </si>
  <si>
    <t>Classe 5 Flexível - Cobre</t>
  </si>
  <si>
    <t>Seção (mm2)</t>
  </si>
  <si>
    <t>Método de Instalação</t>
  </si>
  <si>
    <t>Imax (A) 2 Condutores</t>
  </si>
  <si>
    <t>Imax (A) 3 Condutores</t>
  </si>
  <si>
    <t>Isolação  HEPR</t>
  </si>
  <si>
    <t>Isolação  PVC</t>
  </si>
  <si>
    <t>Capacidade de Tensão</t>
  </si>
  <si>
    <t>2x1</t>
  </si>
  <si>
    <t>Frequência: 60 Hz  •  Rca: Resistência elétrica máxima do condutor em corrente alternada na temperatura de operação  •  XL: Reatância Indutiva</t>
  </si>
  <si>
    <t>Rca (Ω/km)</t>
  </si>
  <si>
    <t>XL (Ω/km)</t>
  </si>
  <si>
    <t>Tabela 31 - Resistências Elétricas e Reatâncias Indutivas - Sintenax Flex (cobre) - PVC</t>
  </si>
  <si>
    <t>Tabela 32 - Resistências Elétricas e Reatâncias Indutivas - GSette Easy (cobre) e Afumex Flex (cobre) - HEPR</t>
  </si>
  <si>
    <t>(V/A.km)</t>
  </si>
  <si>
    <t>ΔV (%)</t>
  </si>
  <si>
    <t>Método
Inst.</t>
  </si>
  <si>
    <t xml:space="preserve">Tabela 11 - Fatores de correção para temperatura ambiente diferente de 30 °C para linhas não subterrâneas </t>
  </si>
  <si>
    <t>e de 20 °C (temperatura do solo) para linhas subterrâneas, conforme tabela 40 da NBR 5410:2004</t>
  </si>
  <si>
    <t>EPR</t>
  </si>
  <si>
    <t>AMBIENTE</t>
  </si>
  <si>
    <t>SOLO</t>
  </si>
  <si>
    <t>Fator de Correção</t>
  </si>
  <si>
    <t>CT</t>
  </si>
  <si>
    <t>Nº
Circ.</t>
  </si>
  <si>
    <t>PN-6210.03005</t>
  </si>
  <si>
    <t>PN-4600002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</si>
</sst>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.000"/>
    <numFmt numFmtId="166" formatCode="0.000"/>
    <numFmt numFmtId="167" formatCode="#,##0.0"/>
  </numFmts>
  <fonts count="5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6"/>
      <color indexed="63"/>
      <name val="Arial"/>
      <family val="2"/>
    </font>
    <font>
      <sz val="8.5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sz val="7"/>
      <color indexed="63"/>
      <name val="Times New Roman"/>
      <family val="1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1"/>
      <color theme="0"/>
      <name val="Symbol"/>
      <family val="1"/>
      <charset val="2"/>
    </font>
    <font>
      <b/>
      <sz val="10"/>
      <color theme="0"/>
      <name val="Calibri"/>
      <family val="2"/>
    </font>
    <font>
      <b/>
      <sz val="9"/>
      <color theme="1"/>
      <name val="Arial"/>
      <family val="2"/>
    </font>
    <font>
      <b/>
      <sz val="10"/>
      <color indexed="81"/>
      <name val="Segoe UI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i/>
      <sz val="8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8"/>
      <color theme="1"/>
      <name val="Times New Roman"/>
      <family val="1"/>
    </font>
    <font>
      <sz val="6"/>
      <color theme="1"/>
      <name val="Arial"/>
      <family val="2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10"/>
      <color rgb="FFFF0000"/>
      <name val="Arial"/>
      <family val="2"/>
    </font>
    <font>
      <b/>
      <sz val="9"/>
      <color theme="5" tint="-0.499984740745262"/>
      <name val="Arial"/>
      <family val="2"/>
    </font>
    <font>
      <b/>
      <sz val="9"/>
      <color theme="9" tint="-0.249977111117893"/>
      <name val="Arial"/>
      <family val="2"/>
    </font>
    <font>
      <b/>
      <sz val="10"/>
      <name val="Arial"/>
    </font>
    <font>
      <b/>
      <sz val="13.5"/>
      <name val="Arial"/>
    </font>
    <font>
      <b/>
      <sz val="13.5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2499465926084170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2499465926084170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0" fontId="9" fillId="22" borderId="0" applyNumberFormat="0" applyBorder="0" applyAlignment="0" applyProtection="0"/>
    <xf numFmtId="0" fontId="10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0" fillId="0" borderId="0"/>
  </cellStyleXfs>
  <cellXfs count="239">
    <xf numFmtId="0" fontId="0" fillId="0" borderId="0" xfId="0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8" borderId="15" xfId="0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28" borderId="15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19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2" fillId="0" borderId="20" xfId="0" applyFont="1" applyBorder="1" applyAlignment="1">
      <alignment horizontal="center" vertical="top" wrapText="1"/>
    </xf>
    <xf numFmtId="0" fontId="25" fillId="0" borderId="20" xfId="0" applyFont="1" applyBorder="1" applyAlignment="1">
      <alignment vertical="top" wrapText="1"/>
    </xf>
    <xf numFmtId="0" fontId="26" fillId="0" borderId="21" xfId="0" applyFont="1" applyBorder="1" applyAlignment="1">
      <alignment vertical="top" wrapText="1"/>
    </xf>
    <xf numFmtId="0" fontId="26" fillId="0" borderId="22" xfId="0" applyFont="1" applyBorder="1" applyAlignment="1">
      <alignment vertical="top" wrapText="1"/>
    </xf>
    <xf numFmtId="0" fontId="27" fillId="0" borderId="22" xfId="0" applyFont="1" applyBorder="1" applyAlignment="1">
      <alignment vertical="top" wrapText="1"/>
    </xf>
    <xf numFmtId="0" fontId="22" fillId="0" borderId="22" xfId="0" applyFont="1" applyBorder="1" applyAlignment="1">
      <alignment horizontal="center" vertical="top" wrapText="1"/>
    </xf>
    <xf numFmtId="0" fontId="28" fillId="0" borderId="23" xfId="0" applyFont="1" applyBorder="1" applyAlignment="1">
      <alignment horizontal="center" vertical="top" wrapText="1"/>
    </xf>
    <xf numFmtId="0" fontId="22" fillId="0" borderId="23" xfId="0" applyFont="1" applyBorder="1" applyAlignment="1">
      <alignment horizontal="center" vertical="top" wrapText="1"/>
    </xf>
    <xf numFmtId="0" fontId="22" fillId="0" borderId="24" xfId="0" applyFont="1" applyBorder="1" applyAlignment="1">
      <alignment horizontal="center" vertical="top" wrapText="1"/>
    </xf>
    <xf numFmtId="0" fontId="22" fillId="0" borderId="23" xfId="0" applyFont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22" fillId="29" borderId="19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2" fontId="22" fillId="0" borderId="23" xfId="0" applyNumberFormat="1" applyFont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30" fillId="0" borderId="33" xfId="0" applyFont="1" applyBorder="1" applyAlignment="1">
      <alignment horizontal="left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2" fontId="29" fillId="0" borderId="39" xfId="0" applyNumberFormat="1" applyFont="1" applyBorder="1" applyAlignment="1" applyProtection="1">
      <alignment horizontal="center"/>
      <protection hidden="1"/>
    </xf>
    <xf numFmtId="2" fontId="29" fillId="0" borderId="15" xfId="0" applyNumberFormat="1" applyFont="1" applyBorder="1" applyAlignment="1" applyProtection="1">
      <alignment horizontal="center"/>
      <protection hidden="1"/>
    </xf>
    <xf numFmtId="2" fontId="29" fillId="0" borderId="13" xfId="0" applyNumberFormat="1" applyFont="1" applyBorder="1" applyAlignment="1" applyProtection="1">
      <alignment horizontal="center"/>
      <protection hidden="1"/>
    </xf>
    <xf numFmtId="0" fontId="30" fillId="0" borderId="37" xfId="0" applyFont="1" applyBorder="1" applyAlignment="1" applyProtection="1">
      <alignment horizontal="center" vertical="center"/>
      <protection locked="0"/>
    </xf>
    <xf numFmtId="0" fontId="30" fillId="0" borderId="38" xfId="0" applyFont="1" applyBorder="1" applyAlignment="1" applyProtection="1">
      <alignment horizontal="center" vertical="center"/>
      <protection locked="0"/>
    </xf>
    <xf numFmtId="2" fontId="19" fillId="25" borderId="41" xfId="0" applyNumberFormat="1" applyFont="1" applyFill="1" applyBorder="1" applyAlignment="1">
      <alignment horizontal="center" vertical="center" wrapText="1"/>
    </xf>
    <xf numFmtId="1" fontId="19" fillId="25" borderId="41" xfId="0" applyNumberFormat="1" applyFont="1" applyFill="1" applyBorder="1" applyAlignment="1">
      <alignment horizontal="center" vertical="center" wrapText="1"/>
    </xf>
    <xf numFmtId="0" fontId="19" fillId="25" borderId="41" xfId="0" applyFont="1" applyFill="1" applyBorder="1" applyAlignment="1">
      <alignment horizontal="center" vertical="center" wrapText="1"/>
    </xf>
    <xf numFmtId="2" fontId="19" fillId="24" borderId="41" xfId="0" applyNumberFormat="1" applyFont="1" applyFill="1" applyBorder="1" applyAlignment="1">
      <alignment horizontal="center" vertical="center"/>
    </xf>
    <xf numFmtId="164" fontId="19" fillId="25" borderId="41" xfId="0" applyNumberFormat="1" applyFont="1" applyFill="1" applyBorder="1" applyAlignment="1">
      <alignment horizontal="center" vertical="center" wrapText="1"/>
    </xf>
    <xf numFmtId="2" fontId="19" fillId="25" borderId="41" xfId="0" applyNumberFormat="1" applyFont="1" applyFill="1" applyBorder="1" applyAlignment="1">
      <alignment horizontal="center" vertical="center"/>
    </xf>
    <xf numFmtId="0" fontId="19" fillId="26" borderId="41" xfId="0" applyFont="1" applyFill="1" applyBorder="1" applyAlignment="1">
      <alignment horizontal="center" vertical="center"/>
    </xf>
    <xf numFmtId="166" fontId="19" fillId="24" borderId="41" xfId="0" applyNumberFormat="1" applyFont="1" applyFill="1" applyBorder="1" applyAlignment="1">
      <alignment horizontal="center" vertical="center"/>
    </xf>
    <xf numFmtId="164" fontId="19" fillId="24" borderId="41" xfId="0" applyNumberFormat="1" applyFont="1" applyFill="1" applyBorder="1" applyAlignment="1">
      <alignment horizontal="center" vertical="center"/>
    </xf>
    <xf numFmtId="2" fontId="32" fillId="30" borderId="40" xfId="0" applyNumberFormat="1" applyFont="1" applyFill="1" applyBorder="1" applyAlignment="1">
      <alignment horizontal="center" vertical="center"/>
    </xf>
    <xf numFmtId="0" fontId="32" fillId="30" borderId="4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2" fillId="30" borderId="42" xfId="0" applyFont="1" applyFill="1" applyBorder="1" applyAlignment="1">
      <alignment horizontal="center" vertical="center"/>
    </xf>
    <xf numFmtId="164" fontId="32" fillId="30" borderId="42" xfId="0" applyNumberFormat="1" applyFont="1" applyFill="1" applyBorder="1" applyAlignment="1">
      <alignment horizontal="center" vertical="center"/>
    </xf>
    <xf numFmtId="2" fontId="32" fillId="30" borderId="42" xfId="0" applyNumberFormat="1" applyFont="1" applyFill="1" applyBorder="1" applyAlignment="1">
      <alignment horizontal="center" vertical="center" wrapText="1"/>
    </xf>
    <xf numFmtId="165" fontId="32" fillId="30" borderId="42" xfId="0" applyNumberFormat="1" applyFont="1" applyFill="1" applyBorder="1" applyAlignment="1">
      <alignment horizontal="center" vertical="center"/>
    </xf>
    <xf numFmtId="164" fontId="32" fillId="30" borderId="42" xfId="0" applyNumberFormat="1" applyFont="1" applyFill="1" applyBorder="1" applyAlignment="1">
      <alignment horizontal="center" vertical="center" wrapText="1"/>
    </xf>
    <xf numFmtId="0" fontId="32" fillId="30" borderId="4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6" borderId="15" xfId="0" applyFill="1" applyBorder="1" applyAlignment="1">
      <alignment horizontal="center" vertical="center" wrapText="1"/>
    </xf>
    <xf numFmtId="0" fontId="0" fillId="26" borderId="18" xfId="0" applyFill="1" applyBorder="1" applyAlignment="1">
      <alignment horizontal="center" vertical="center" wrapText="1"/>
    </xf>
    <xf numFmtId="0" fontId="0" fillId="26" borderId="17" xfId="0" applyFill="1" applyBorder="1" applyAlignment="1">
      <alignment horizontal="center" vertical="center" wrapText="1"/>
    </xf>
    <xf numFmtId="0" fontId="20" fillId="31" borderId="52" xfId="0" applyFont="1" applyFill="1" applyBorder="1" applyAlignment="1">
      <alignment horizontal="center"/>
    </xf>
    <xf numFmtId="0" fontId="20" fillId="31" borderId="53" xfId="0" applyFont="1" applyFill="1" applyBorder="1" applyAlignment="1">
      <alignment horizontal="center"/>
    </xf>
    <xf numFmtId="0" fontId="20" fillId="31" borderId="54" xfId="0" applyFont="1" applyFill="1" applyBorder="1"/>
    <xf numFmtId="0" fontId="20" fillId="28" borderId="39" xfId="0" applyFont="1" applyFill="1" applyBorder="1" applyAlignment="1">
      <alignment horizontal="center"/>
    </xf>
    <xf numFmtId="0" fontId="20" fillId="28" borderId="18" xfId="0" applyFont="1" applyFill="1" applyBorder="1" applyAlignment="1">
      <alignment horizontal="center"/>
    </xf>
    <xf numFmtId="164" fontId="33" fillId="28" borderId="55" xfId="0" applyNumberFormat="1" applyFont="1" applyFill="1" applyBorder="1" applyAlignment="1" applyProtection="1">
      <alignment horizontal="center"/>
      <protection hidden="1"/>
    </xf>
    <xf numFmtId="0" fontId="20" fillId="27" borderId="39" xfId="0" applyFont="1" applyFill="1" applyBorder="1" applyAlignment="1">
      <alignment horizontal="center"/>
    </xf>
    <xf numFmtId="0" fontId="20" fillId="27" borderId="18" xfId="0" applyFont="1" applyFill="1" applyBorder="1" applyAlignment="1">
      <alignment horizontal="center"/>
    </xf>
    <xf numFmtId="164" fontId="33" fillId="27" borderId="55" xfId="0" applyNumberFormat="1" applyFont="1" applyFill="1" applyBorder="1" applyAlignment="1" applyProtection="1">
      <alignment horizontal="center"/>
      <protection hidden="1"/>
    </xf>
    <xf numFmtId="0" fontId="29" fillId="0" borderId="0" xfId="0" applyFont="1"/>
    <xf numFmtId="0" fontId="34" fillId="0" borderId="0" xfId="0" applyFont="1" applyAlignment="1">
      <alignment vertical="center"/>
    </xf>
    <xf numFmtId="0" fontId="20" fillId="31" borderId="72" xfId="0" applyFont="1" applyFill="1" applyBorder="1" applyAlignment="1">
      <alignment horizontal="center"/>
    </xf>
    <xf numFmtId="0" fontId="20" fillId="31" borderId="73" xfId="0" applyFont="1" applyFill="1" applyBorder="1" applyAlignment="1">
      <alignment horizontal="center"/>
    </xf>
    <xf numFmtId="0" fontId="20" fillId="31" borderId="74" xfId="0" applyFont="1" applyFill="1" applyBorder="1" applyAlignment="1">
      <alignment horizontal="center"/>
    </xf>
    <xf numFmtId="0" fontId="35" fillId="31" borderId="75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28" borderId="56" xfId="0" applyFont="1" applyFill="1" applyBorder="1" applyAlignment="1">
      <alignment horizontal="right"/>
    </xf>
    <xf numFmtId="0" fontId="20" fillId="28" borderId="0" xfId="0" applyFont="1" applyFill="1" applyAlignment="1">
      <alignment horizontal="left"/>
    </xf>
    <xf numFmtId="0" fontId="35" fillId="28" borderId="29" xfId="0" applyFont="1" applyFill="1" applyBorder="1" applyAlignment="1">
      <alignment horizontal="center"/>
    </xf>
    <xf numFmtId="164" fontId="20" fillId="28" borderId="0" xfId="0" applyNumberFormat="1" applyFont="1" applyFill="1" applyAlignment="1">
      <alignment horizontal="center"/>
    </xf>
    <xf numFmtId="164" fontId="20" fillId="28" borderId="57" xfId="0" applyNumberFormat="1" applyFont="1" applyFill="1" applyBorder="1" applyAlignment="1">
      <alignment horizontal="center"/>
    </xf>
    <xf numFmtId="164" fontId="20" fillId="28" borderId="29" xfId="0" applyNumberFormat="1" applyFont="1" applyFill="1" applyBorder="1" applyAlignment="1">
      <alignment horizontal="center"/>
    </xf>
    <xf numFmtId="0" fontId="0" fillId="34" borderId="76" xfId="0" applyFill="1" applyBorder="1" applyAlignment="1">
      <alignment horizontal="center"/>
    </xf>
    <xf numFmtId="0" fontId="0" fillId="34" borderId="77" xfId="0" applyFill="1" applyBorder="1" applyAlignment="1">
      <alignment horizontal="center"/>
    </xf>
    <xf numFmtId="0" fontId="20" fillId="27" borderId="56" xfId="0" applyFont="1" applyFill="1" applyBorder="1" applyAlignment="1">
      <alignment horizontal="right"/>
    </xf>
    <xf numFmtId="0" fontId="20" fillId="27" borderId="0" xfId="0" applyFont="1" applyFill="1" applyAlignment="1">
      <alignment horizontal="left"/>
    </xf>
    <xf numFmtId="0" fontId="35" fillId="27" borderId="29" xfId="0" applyFont="1" applyFill="1" applyBorder="1" applyAlignment="1">
      <alignment horizontal="center"/>
    </xf>
    <xf numFmtId="164" fontId="20" fillId="27" borderId="0" xfId="0" applyNumberFormat="1" applyFont="1" applyFill="1" applyAlignment="1">
      <alignment horizontal="center"/>
    </xf>
    <xf numFmtId="164" fontId="20" fillId="27" borderId="57" xfId="0" applyNumberFormat="1" applyFont="1" applyFill="1" applyBorder="1" applyAlignment="1">
      <alignment horizontal="center"/>
    </xf>
    <xf numFmtId="164" fontId="20" fillId="27" borderId="29" xfId="0" applyNumberFormat="1" applyFont="1" applyFill="1" applyBorder="1" applyAlignment="1">
      <alignment horizontal="center"/>
    </xf>
    <xf numFmtId="0" fontId="20" fillId="27" borderId="29" xfId="0" applyFont="1" applyFill="1" applyBorder="1" applyAlignment="1">
      <alignment horizontal="center"/>
    </xf>
    <xf numFmtId="0" fontId="35" fillId="27" borderId="58" xfId="0" applyFont="1" applyFill="1" applyBorder="1" applyAlignment="1">
      <alignment horizontal="center"/>
    </xf>
    <xf numFmtId="0" fontId="20" fillId="28" borderId="29" xfId="0" applyFont="1" applyFill="1" applyBorder="1" applyAlignment="1">
      <alignment horizontal="center"/>
    </xf>
    <xf numFmtId="0" fontId="35" fillId="28" borderId="58" xfId="0" applyFont="1" applyFill="1" applyBorder="1" applyAlignment="1">
      <alignment horizontal="center"/>
    </xf>
    <xf numFmtId="0" fontId="20" fillId="27" borderId="59" xfId="0" applyFont="1" applyFill="1" applyBorder="1" applyAlignment="1">
      <alignment horizontal="left"/>
    </xf>
    <xf numFmtId="164" fontId="20" fillId="28" borderId="64" xfId="0" applyNumberFormat="1" applyFont="1" applyFill="1" applyBorder="1" applyAlignment="1">
      <alignment horizontal="center"/>
    </xf>
    <xf numFmtId="164" fontId="20" fillId="28" borderId="61" xfId="0" applyNumberFormat="1" applyFont="1" applyFill="1" applyBorder="1" applyAlignment="1">
      <alignment horizontal="center"/>
    </xf>
    <xf numFmtId="164" fontId="20" fillId="28" borderId="60" xfId="0" applyNumberFormat="1" applyFont="1" applyFill="1" applyBorder="1" applyAlignment="1">
      <alignment horizontal="center"/>
    </xf>
    <xf numFmtId="0" fontId="20" fillId="28" borderId="60" xfId="0" applyFont="1" applyFill="1" applyBorder="1" applyAlignment="1">
      <alignment horizontal="center"/>
    </xf>
    <xf numFmtId="0" fontId="35" fillId="28" borderId="62" xfId="0" applyFont="1" applyFill="1" applyBorder="1" applyAlignment="1">
      <alignment horizontal="center"/>
    </xf>
    <xf numFmtId="0" fontId="20" fillId="27" borderId="63" xfId="0" applyFont="1" applyFill="1" applyBorder="1" applyAlignment="1">
      <alignment horizontal="right"/>
    </xf>
    <xf numFmtId="0" fontId="20" fillId="27" borderId="78" xfId="0" applyFont="1" applyFill="1" applyBorder="1" applyAlignment="1">
      <alignment horizontal="left"/>
    </xf>
    <xf numFmtId="0" fontId="35" fillId="27" borderId="79" xfId="0" applyFont="1" applyFill="1" applyBorder="1" applyAlignment="1">
      <alignment horizontal="center"/>
    </xf>
    <xf numFmtId="0" fontId="36" fillId="30" borderId="0" xfId="0" applyFont="1" applyFill="1" applyAlignment="1">
      <alignment horizontal="center" vertical="center"/>
    </xf>
    <xf numFmtId="0" fontId="20" fillId="31" borderId="67" xfId="0" applyFont="1" applyFill="1" applyBorder="1"/>
    <xf numFmtId="0" fontId="20" fillId="31" borderId="51" xfId="0" applyFont="1" applyFill="1" applyBorder="1"/>
    <xf numFmtId="0" fontId="31" fillId="0" borderId="0" xfId="0" applyFont="1" applyAlignment="1">
      <alignment vertical="center"/>
    </xf>
    <xf numFmtId="164" fontId="38" fillId="24" borderId="50" xfId="0" applyNumberFormat="1" applyFont="1" applyFill="1" applyBorder="1" applyAlignment="1">
      <alignment horizontal="left" vertical="center"/>
    </xf>
    <xf numFmtId="1" fontId="38" fillId="25" borderId="41" xfId="0" applyNumberFormat="1" applyFont="1" applyFill="1" applyBorder="1" applyAlignment="1">
      <alignment horizontal="center" vertical="center" wrapText="1"/>
    </xf>
    <xf numFmtId="1" fontId="38" fillId="24" borderId="41" xfId="0" applyNumberFormat="1" applyFon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/>
    </xf>
    <xf numFmtId="164" fontId="32" fillId="30" borderId="80" xfId="0" applyNumberFormat="1" applyFont="1" applyFill="1" applyBorder="1" applyAlignment="1">
      <alignment horizontal="center" vertical="center"/>
    </xf>
    <xf numFmtId="0" fontId="10" fillId="0" borderId="0" xfId="42" applyAlignment="1">
      <alignment horizontal="left" vertical="center"/>
    </xf>
    <xf numFmtId="0" fontId="0" fillId="0" borderId="0" xfId="0" applyAlignment="1">
      <alignment horizontal="left" vertical="center"/>
    </xf>
    <xf numFmtId="1" fontId="21" fillId="0" borderId="0" xfId="42" applyNumberFormat="1" applyFont="1" applyAlignment="1">
      <alignment horizontal="left" vertical="center"/>
    </xf>
    <xf numFmtId="0" fontId="40" fillId="0" borderId="0" xfId="42" applyFont="1" applyAlignment="1">
      <alignment horizontal="left" vertical="center"/>
    </xf>
    <xf numFmtId="0" fontId="20" fillId="0" borderId="0" xfId="42" applyFont="1" applyAlignment="1">
      <alignment horizontal="left" vertical="center"/>
    </xf>
    <xf numFmtId="0" fontId="20" fillId="0" borderId="0" xfId="0" applyFont="1"/>
    <xf numFmtId="0" fontId="29" fillId="0" borderId="0" xfId="0" applyFont="1" applyAlignment="1">
      <alignment horizontal="left"/>
    </xf>
    <xf numFmtId="167" fontId="41" fillId="24" borderId="81" xfId="0" applyNumberFormat="1" applyFont="1" applyFill="1" applyBorder="1" applyAlignment="1">
      <alignment horizontal="center" vertical="center" wrapText="1"/>
    </xf>
    <xf numFmtId="0" fontId="41" fillId="24" borderId="81" xfId="0" applyFont="1" applyFill="1" applyBorder="1" applyAlignment="1">
      <alignment horizontal="center" vertical="center" wrapText="1"/>
    </xf>
    <xf numFmtId="0" fontId="32" fillId="30" borderId="80" xfId="0" applyFont="1" applyFill="1" applyBorder="1" applyAlignment="1">
      <alignment horizontal="center" vertical="center" wrapText="1"/>
    </xf>
    <xf numFmtId="0" fontId="42" fillId="24" borderId="82" xfId="0" applyFont="1" applyFill="1" applyBorder="1" applyAlignment="1">
      <alignment vertical="top" wrapText="1"/>
    </xf>
    <xf numFmtId="0" fontId="29" fillId="0" borderId="83" xfId="0" applyFont="1" applyBorder="1" applyAlignment="1">
      <alignment vertical="top" wrapText="1"/>
    </xf>
    <xf numFmtId="0" fontId="29" fillId="0" borderId="84" xfId="0" applyFont="1" applyBorder="1" applyAlignment="1">
      <alignment vertical="top" wrapText="1"/>
    </xf>
    <xf numFmtId="0" fontId="42" fillId="24" borderId="22" xfId="0" applyFont="1" applyFill="1" applyBorder="1" applyAlignment="1">
      <alignment vertical="top" wrapText="1"/>
    </xf>
    <xf numFmtId="0" fontId="29" fillId="0" borderId="85" xfId="0" applyFont="1" applyBorder="1" applyAlignment="1">
      <alignment vertical="top" wrapText="1"/>
    </xf>
    <xf numFmtId="0" fontId="29" fillId="0" borderId="0" xfId="0" applyFont="1" applyAlignment="1">
      <alignment vertical="top" wrapText="1"/>
    </xf>
    <xf numFmtId="0" fontId="43" fillId="24" borderId="24" xfId="0" applyFont="1" applyFill="1" applyBorder="1" applyAlignment="1">
      <alignment vertical="top" wrapText="1"/>
    </xf>
    <xf numFmtId="0" fontId="43" fillId="24" borderId="21" xfId="0" applyFont="1" applyFill="1" applyBorder="1" applyAlignment="1">
      <alignment vertical="top" wrapText="1"/>
    </xf>
    <xf numFmtId="0" fontId="44" fillId="24" borderId="86" xfId="0" applyFont="1" applyFill="1" applyBorder="1" applyAlignment="1">
      <alignment vertical="top" wrapText="1"/>
    </xf>
    <xf numFmtId="0" fontId="45" fillId="0" borderId="26" xfId="0" applyFont="1" applyBorder="1" applyAlignment="1">
      <alignment horizontal="center" vertical="top" wrapText="1"/>
    </xf>
    <xf numFmtId="0" fontId="44" fillId="24" borderId="26" xfId="0" applyFont="1" applyFill="1" applyBorder="1" applyAlignment="1">
      <alignment vertical="top" wrapText="1"/>
    </xf>
    <xf numFmtId="0" fontId="44" fillId="24" borderId="25" xfId="0" applyFont="1" applyFill="1" applyBorder="1" applyAlignment="1">
      <alignment vertical="top" wrapText="1"/>
    </xf>
    <xf numFmtId="0" fontId="44" fillId="0" borderId="25" xfId="0" applyFont="1" applyBorder="1" applyAlignment="1">
      <alignment vertical="top" wrapText="1"/>
    </xf>
    <xf numFmtId="0" fontId="44" fillId="24" borderId="19" xfId="0" applyFont="1" applyFill="1" applyBorder="1" applyAlignment="1">
      <alignment vertical="top" wrapText="1"/>
    </xf>
    <xf numFmtId="0" fontId="46" fillId="24" borderId="24" xfId="0" applyFont="1" applyFill="1" applyBorder="1" applyAlignment="1">
      <alignment horizontal="center" vertical="top" wrapText="1"/>
    </xf>
    <xf numFmtId="0" fontId="49" fillId="0" borderId="0" xfId="0" applyFont="1" applyAlignment="1">
      <alignment vertical="center"/>
    </xf>
    <xf numFmtId="49" fontId="47" fillId="0" borderId="23" xfId="0" applyNumberFormat="1" applyFont="1" applyBorder="1" applyAlignment="1">
      <alignment horizontal="center" vertical="top" wrapText="1"/>
    </xf>
    <xf numFmtId="0" fontId="48" fillId="0" borderId="23" xfId="0" applyFont="1" applyBorder="1" applyAlignment="1">
      <alignment horizontal="center" vertical="top" wrapText="1"/>
    </xf>
    <xf numFmtId="49" fontId="44" fillId="0" borderId="23" xfId="0" applyNumberFormat="1" applyFont="1" applyBorder="1" applyAlignment="1">
      <alignment horizontal="center" vertical="top" wrapText="1"/>
    </xf>
    <xf numFmtId="0" fontId="44" fillId="0" borderId="23" xfId="0" applyFont="1" applyBorder="1" applyAlignment="1">
      <alignment horizontal="center" vertical="top" wrapText="1"/>
    </xf>
    <xf numFmtId="1" fontId="21" fillId="0" borderId="0" xfId="42" applyNumberFormat="1" applyFont="1" applyAlignment="1">
      <alignment horizontal="center" vertical="center"/>
    </xf>
    <xf numFmtId="0" fontId="21" fillId="0" borderId="0" xfId="42" applyFont="1" applyAlignment="1">
      <alignment horizontal="center" vertical="center"/>
    </xf>
    <xf numFmtId="0" fontId="0" fillId="0" borderId="0" xfId="0" applyAlignment="1">
      <alignment horizontal="center"/>
    </xf>
    <xf numFmtId="2" fontId="47" fillId="0" borderId="23" xfId="0" applyNumberFormat="1" applyFont="1" applyBorder="1" applyAlignment="1">
      <alignment horizontal="center" vertical="top" wrapText="1"/>
    </xf>
    <xf numFmtId="2" fontId="46" fillId="24" borderId="24" xfId="0" applyNumberFormat="1" applyFont="1" applyFill="1" applyBorder="1" applyAlignment="1">
      <alignment horizontal="center" vertical="top" wrapText="1"/>
    </xf>
    <xf numFmtId="2" fontId="44" fillId="0" borderId="23" xfId="0" applyNumberFormat="1" applyFont="1" applyBorder="1" applyAlignment="1">
      <alignment horizontal="center" vertical="top" wrapText="1"/>
    </xf>
    <xf numFmtId="164" fontId="47" fillId="0" borderId="23" xfId="0" applyNumberFormat="1" applyFont="1" applyBorder="1" applyAlignment="1">
      <alignment horizontal="center" vertical="top" wrapText="1"/>
    </xf>
    <xf numFmtId="1" fontId="47" fillId="0" borderId="23" xfId="0" applyNumberFormat="1" applyFont="1" applyBorder="1" applyAlignment="1">
      <alignment horizontal="center" vertical="top" wrapText="1"/>
    </xf>
    <xf numFmtId="1" fontId="51" fillId="24" borderId="49" xfId="0" applyNumberFormat="1" applyFont="1" applyFill="1" applyBorder="1" applyAlignment="1">
      <alignment horizontal="center" vertical="center"/>
    </xf>
    <xf numFmtId="164" fontId="50" fillId="24" borderId="41" xfId="0" applyNumberFormat="1" applyFont="1" applyFill="1" applyBorder="1" applyAlignment="1">
      <alignment horizontal="center" vertical="center"/>
    </xf>
    <xf numFmtId="166" fontId="50" fillId="24" borderId="41" xfId="0" applyNumberFormat="1" applyFont="1" applyFill="1" applyBorder="1" applyAlignment="1">
      <alignment horizontal="center" vertical="center"/>
    </xf>
    <xf numFmtId="0" fontId="32" fillId="30" borderId="42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8" fillId="24" borderId="41" xfId="0" applyNumberFormat="1" applyFont="1" applyFill="1" applyBorder="1" applyAlignment="1">
      <alignment horizontal="center" vertical="center"/>
    </xf>
    <xf numFmtId="0" fontId="10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" fontId="38" fillId="24" borderId="4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quotePrefix="1" applyFont="1"/>
    <xf numFmtId="0" fontId="52" fillId="0" borderId="0" xfId="0" applyFont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64" fontId="55" fillId="25" borderId="4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" fontId="30" fillId="24" borderId="41" xfId="0" applyNumberFormat="1" applyFont="1" applyFill="1" applyBorder="1" applyAlignment="1">
      <alignment horizontal="center" vertical="center"/>
    </xf>
    <xf numFmtId="164" fontId="30" fillId="24" borderId="41" xfId="0" applyNumberFormat="1" applyFont="1" applyFill="1" applyBorder="1" applyAlignment="1">
      <alignment horizontal="center" vertical="center"/>
    </xf>
    <xf numFmtId="1" fontId="19" fillId="24" borderId="4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56" fillId="0" borderId="0" xfId="0" applyFont="1" applyAlignment="1">
      <alignment horizontal="left"/>
    </xf>
    <xf numFmtId="0" fontId="56" fillId="0" borderId="0" xfId="0" applyFont="1" applyAlignment="1">
      <alignment horizontal="left" vertical="center"/>
    </xf>
    <xf numFmtId="164" fontId="32" fillId="30" borderId="43" xfId="0" applyNumberFormat="1" applyFont="1" applyFill="1" applyBorder="1" applyAlignment="1">
      <alignment horizontal="center" vertical="center"/>
    </xf>
    <xf numFmtId="164" fontId="32" fillId="30" borderId="44" xfId="0" applyNumberFormat="1" applyFont="1" applyFill="1" applyBorder="1" applyAlignment="1">
      <alignment horizontal="center" vertical="center"/>
    </xf>
    <xf numFmtId="164" fontId="32" fillId="30" borderId="45" xfId="0" applyNumberFormat="1" applyFont="1" applyFill="1" applyBorder="1" applyAlignment="1">
      <alignment horizontal="center" vertical="center"/>
    </xf>
    <xf numFmtId="0" fontId="32" fillId="30" borderId="42" xfId="0" applyFont="1" applyFill="1" applyBorder="1" applyAlignment="1">
      <alignment horizontal="center" vertical="center" wrapText="1"/>
    </xf>
    <xf numFmtId="0" fontId="32" fillId="30" borderId="46" xfId="0" applyFont="1" applyFill="1" applyBorder="1" applyAlignment="1">
      <alignment horizontal="center" vertical="center" wrapText="1"/>
    </xf>
    <xf numFmtId="0" fontId="32" fillId="30" borderId="43" xfId="0" applyFont="1" applyFill="1" applyBorder="1" applyAlignment="1">
      <alignment horizontal="center" vertical="center"/>
    </xf>
    <xf numFmtId="0" fontId="32" fillId="30" borderId="45" xfId="0" applyFont="1" applyFill="1" applyBorder="1" applyAlignment="1">
      <alignment horizontal="center" vertical="center"/>
    </xf>
    <xf numFmtId="1" fontId="37" fillId="30" borderId="42" xfId="0" applyNumberFormat="1" applyFont="1" applyFill="1" applyBorder="1" applyAlignment="1">
      <alignment horizontal="center" vertical="center"/>
    </xf>
    <xf numFmtId="1" fontId="32" fillId="30" borderId="46" xfId="0" applyNumberFormat="1" applyFont="1" applyFill="1" applyBorder="1" applyAlignment="1">
      <alignment horizontal="center" vertical="center"/>
    </xf>
    <xf numFmtId="0" fontId="32" fillId="30" borderId="43" xfId="0" applyFont="1" applyFill="1" applyBorder="1" applyAlignment="1">
      <alignment horizontal="center" vertical="center" wrapText="1"/>
    </xf>
    <xf numFmtId="0" fontId="32" fillId="30" borderId="45" xfId="0" applyFont="1" applyFill="1" applyBorder="1" applyAlignment="1">
      <alignment horizontal="center" vertical="center" wrapText="1"/>
    </xf>
    <xf numFmtId="0" fontId="32" fillId="30" borderId="44" xfId="0" applyFont="1" applyFill="1" applyBorder="1" applyAlignment="1">
      <alignment horizontal="center" vertical="center" wrapText="1"/>
    </xf>
    <xf numFmtId="0" fontId="32" fillId="30" borderId="46" xfId="0" applyFont="1" applyFill="1" applyBorder="1" applyAlignment="1">
      <alignment horizontal="center" vertical="center"/>
    </xf>
    <xf numFmtId="1" fontId="32" fillId="30" borderId="43" xfId="0" applyNumberFormat="1" applyFont="1" applyFill="1" applyBorder="1" applyAlignment="1">
      <alignment horizontal="center" vertical="center"/>
    </xf>
    <xf numFmtId="1" fontId="32" fillId="30" borderId="44" xfId="0" applyNumberFormat="1" applyFont="1" applyFill="1" applyBorder="1" applyAlignment="1">
      <alignment horizontal="center" vertical="center"/>
    </xf>
    <xf numFmtId="1" fontId="32" fillId="30" borderId="45" xfId="0" applyNumberFormat="1" applyFont="1" applyFill="1" applyBorder="1" applyAlignment="1">
      <alignment horizontal="center" vertical="center"/>
    </xf>
    <xf numFmtId="164" fontId="32" fillId="30" borderId="47" xfId="0" applyNumberFormat="1" applyFont="1" applyFill="1" applyBorder="1" applyAlignment="1">
      <alignment horizontal="center" vertical="center" wrapText="1"/>
    </xf>
    <xf numFmtId="164" fontId="32" fillId="30" borderId="48" xfId="0" applyNumberFormat="1" applyFont="1" applyFill="1" applyBorder="1" applyAlignment="1">
      <alignment horizontal="center" vertical="center" wrapText="1"/>
    </xf>
    <xf numFmtId="0" fontId="32" fillId="30" borderId="44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vertical="center" wrapText="1"/>
    </xf>
    <xf numFmtId="0" fontId="20" fillId="31" borderId="68" xfId="0" applyFont="1" applyFill="1" applyBorder="1" applyAlignment="1">
      <alignment horizontal="center" vertical="center" wrapText="1"/>
    </xf>
    <xf numFmtId="0" fontId="20" fillId="31" borderId="69" xfId="0" applyFont="1" applyFill="1" applyBorder="1" applyAlignment="1">
      <alignment horizontal="center" vertical="center"/>
    </xf>
    <xf numFmtId="0" fontId="20" fillId="31" borderId="70" xfId="0" applyFont="1" applyFill="1" applyBorder="1" applyAlignment="1">
      <alignment horizontal="center" vertical="center"/>
    </xf>
    <xf numFmtId="0" fontId="20" fillId="31" borderId="71" xfId="0" applyFont="1" applyFill="1" applyBorder="1" applyAlignment="1">
      <alignment horizontal="center" vertical="center"/>
    </xf>
    <xf numFmtId="0" fontId="20" fillId="31" borderId="67" xfId="0" applyFont="1" applyFill="1" applyBorder="1" applyAlignment="1">
      <alignment horizontal="center"/>
    </xf>
    <xf numFmtId="0" fontId="20" fillId="31" borderId="34" xfId="0" applyFont="1" applyFill="1" applyBorder="1" applyAlignment="1">
      <alignment horizontal="center"/>
    </xf>
    <xf numFmtId="0" fontId="20" fillId="31" borderId="51" xfId="0" applyFont="1" applyFill="1" applyBorder="1" applyAlignment="1">
      <alignment horizontal="center"/>
    </xf>
    <xf numFmtId="0" fontId="20" fillId="31" borderId="33" xfId="0" applyFont="1" applyFill="1" applyBorder="1" applyAlignment="1">
      <alignment horizontal="center"/>
    </xf>
    <xf numFmtId="0" fontId="20" fillId="32" borderId="10" xfId="0" applyFont="1" applyFill="1" applyBorder="1" applyAlignment="1">
      <alignment horizontal="center"/>
    </xf>
    <xf numFmtId="0" fontId="20" fillId="32" borderId="65" xfId="0" applyFont="1" applyFill="1" applyBorder="1" applyAlignment="1">
      <alignment horizontal="center"/>
    </xf>
    <xf numFmtId="0" fontId="20" fillId="33" borderId="39" xfId="0" applyFont="1" applyFill="1" applyBorder="1" applyAlignment="1">
      <alignment horizontal="center"/>
    </xf>
    <xf numFmtId="0" fontId="20" fillId="33" borderId="55" xfId="0" applyFont="1" applyFill="1" applyBorder="1" applyAlignment="1">
      <alignment horizontal="center"/>
    </xf>
    <xf numFmtId="0" fontId="20" fillId="24" borderId="12" xfId="0" applyFont="1" applyFill="1" applyBorder="1" applyAlignment="1">
      <alignment horizontal="center"/>
    </xf>
    <xf numFmtId="0" fontId="20" fillId="24" borderId="66" xfId="0" applyFont="1" applyFill="1" applyBorder="1" applyAlignment="1">
      <alignment horizontal="center"/>
    </xf>
    <xf numFmtId="0" fontId="20" fillId="0" borderId="6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8" xfId="0" applyFont="1" applyBorder="1"/>
    <xf numFmtId="0" fontId="0" fillId="26" borderId="14" xfId="0" applyFill="1" applyBorder="1" applyAlignment="1">
      <alignment horizontal="center" vertical="center" wrapText="1"/>
    </xf>
    <xf numFmtId="0" fontId="0" fillId="26" borderId="29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6" borderId="30" xfId="0" applyFill="1" applyBorder="1" applyAlignment="1">
      <alignment horizontal="center" vertical="center" wrapText="1"/>
    </xf>
    <xf numFmtId="0" fontId="0" fillId="26" borderId="27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6" borderId="31" xfId="0" applyFill="1" applyBorder="1" applyAlignment="1">
      <alignment horizontal="center" vertical="center" wrapText="1"/>
    </xf>
    <xf numFmtId="0" fontId="0" fillId="26" borderId="32" xfId="0" applyFill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22" fillId="0" borderId="25" xfId="0" applyFont="1" applyBorder="1" applyAlignment="1">
      <alignment horizontal="left" vertical="top" wrapText="1" indent="2"/>
    </xf>
    <xf numFmtId="0" fontId="22" fillId="0" borderId="26" xfId="0" applyFont="1" applyBorder="1" applyAlignment="1">
      <alignment horizontal="left" vertical="top" wrapText="1" indent="2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42" xr:uid="{00000000-0005-0000-0000-000020000000}"/>
    <cellStyle name="Nota" xfId="32" builtinId="10" customBuiltin="1"/>
    <cellStyle name="Ruim" xfId="30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8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11</xdr:col>
      <xdr:colOff>152400</xdr:colOff>
      <xdr:row>49</xdr:row>
      <xdr:rowOff>95250</xdr:rowOff>
    </xdr:to>
    <xdr:pic>
      <xdr:nvPicPr>
        <xdr:cNvPr id="1025" name="Picture 19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6858000" cy="8020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190500</xdr:colOff>
      <xdr:row>0</xdr:row>
      <xdr:rowOff>10583</xdr:rowOff>
    </xdr:from>
    <xdr:to>
      <xdr:col>24</xdr:col>
      <xdr:colOff>563048</xdr:colOff>
      <xdr:row>28</xdr:row>
      <xdr:rowOff>41773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2667" y="10583"/>
          <a:ext cx="8352381" cy="4476190"/>
        </a:xfrm>
        <a:prstGeom prst="rect">
          <a:avLst/>
        </a:prstGeom>
      </xdr:spPr>
    </xdr:pic>
    <xdr:clientData/>
  </xdr:twoCellAnchor>
  <xdr:twoCellAnchor editAs="oneCell">
    <xdr:from>
      <xdr:col>11</xdr:col>
      <xdr:colOff>169333</xdr:colOff>
      <xdr:row>28</xdr:row>
      <xdr:rowOff>42333</xdr:rowOff>
    </xdr:from>
    <xdr:to>
      <xdr:col>24</xdr:col>
      <xdr:colOff>303786</xdr:colOff>
      <xdr:row>58</xdr:row>
      <xdr:rowOff>117928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1500" y="4487333"/>
          <a:ext cx="8114286" cy="48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58</xdr:row>
      <xdr:rowOff>148167</xdr:rowOff>
    </xdr:from>
    <xdr:to>
      <xdr:col>24</xdr:col>
      <xdr:colOff>296381</xdr:colOff>
      <xdr:row>80</xdr:row>
      <xdr:rowOff>74715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2667" y="9355667"/>
          <a:ext cx="8085714" cy="3419048"/>
        </a:xfrm>
        <a:prstGeom prst="rect">
          <a:avLst/>
        </a:prstGeom>
      </xdr:spPr>
    </xdr:pic>
    <xdr:clientData/>
  </xdr:twoCellAnchor>
  <xdr:twoCellAnchor editAs="oneCell">
    <xdr:from>
      <xdr:col>11</xdr:col>
      <xdr:colOff>222251</xdr:colOff>
      <xdr:row>80</xdr:row>
      <xdr:rowOff>137584</xdr:rowOff>
    </xdr:from>
    <xdr:to>
      <xdr:col>24</xdr:col>
      <xdr:colOff>70989</xdr:colOff>
      <xdr:row>108</xdr:row>
      <xdr:rowOff>73536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74418" y="12837584"/>
          <a:ext cx="7828571" cy="43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232835</xdr:colOff>
      <xdr:row>108</xdr:row>
      <xdr:rowOff>127002</xdr:rowOff>
    </xdr:from>
    <xdr:to>
      <xdr:col>24</xdr:col>
      <xdr:colOff>167288</xdr:colOff>
      <xdr:row>135</xdr:row>
      <xdr:rowOff>135990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85002" y="17272002"/>
          <a:ext cx="7914286" cy="4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638"/>
  <sheetViews>
    <sheetView showGridLines="0" tabSelected="1" zoomScale="70" zoomScaleNormal="70" zoomScaleSheetLayoutView="72" workbookViewId="0">
      <selection activeCell="N3" sqref="N3"/>
    </sheetView>
  </sheetViews>
  <sheetFormatPr defaultRowHeight="13.2" x14ac:dyDescent="0.25"/>
  <cols>
    <col min="1" max="1" width="8" customWidth="1"/>
    <col min="2" max="2" width="14.5546875" customWidth="1"/>
    <col min="3" max="3" width="13.77734375" customWidth="1"/>
    <col min="4" max="16" width="6.77734375" customWidth="1"/>
    <col min="17" max="17" width="7.44140625" customWidth="1"/>
    <col min="18" max="24" width="6.77734375" customWidth="1"/>
    <col min="25" max="26" width="3.77734375" customWidth="1"/>
    <col min="27" max="42" width="6.77734375" customWidth="1"/>
    <col min="43" max="47" width="6.77734375" hidden="1" customWidth="1"/>
  </cols>
  <sheetData>
    <row r="1" spans="1:63" s="46" customFormat="1" ht="30" customHeight="1" thickBot="1" x14ac:dyDescent="0.3">
      <c r="A1" s="189" t="s">
        <v>74</v>
      </c>
      <c r="B1" s="195" t="s">
        <v>84</v>
      </c>
      <c r="C1" s="196"/>
      <c r="D1" s="189" t="s">
        <v>0</v>
      </c>
      <c r="E1" s="193" t="s">
        <v>109</v>
      </c>
      <c r="F1" s="191" t="s">
        <v>30</v>
      </c>
      <c r="G1" s="204"/>
      <c r="H1" s="192"/>
      <c r="I1" s="191" t="s">
        <v>65</v>
      </c>
      <c r="J1" s="192"/>
      <c r="K1" s="44" t="s">
        <v>66</v>
      </c>
      <c r="L1" s="191" t="s">
        <v>366</v>
      </c>
      <c r="M1" s="204"/>
      <c r="N1" s="204"/>
      <c r="O1" s="204"/>
      <c r="P1" s="192"/>
      <c r="Q1" s="189" t="s">
        <v>360</v>
      </c>
      <c r="R1" s="186" t="s">
        <v>124</v>
      </c>
      <c r="S1" s="187"/>
      <c r="T1" s="188"/>
      <c r="U1" s="186" t="s">
        <v>128</v>
      </c>
      <c r="V1" s="187"/>
      <c r="W1" s="187"/>
      <c r="X1" s="188"/>
      <c r="Y1" s="199" t="s">
        <v>106</v>
      </c>
      <c r="Z1" s="200"/>
      <c r="AA1" s="200"/>
      <c r="AB1" s="200"/>
      <c r="AC1" s="200"/>
      <c r="AD1" s="200"/>
      <c r="AE1" s="200"/>
      <c r="AF1" s="201"/>
      <c r="AG1" s="191" t="s">
        <v>91</v>
      </c>
      <c r="AH1" s="192"/>
      <c r="AI1" s="195" t="s">
        <v>79</v>
      </c>
      <c r="AJ1" s="196"/>
      <c r="AK1" s="195" t="s">
        <v>351</v>
      </c>
      <c r="AL1" s="197"/>
      <c r="AM1" s="197"/>
      <c r="AN1" s="197"/>
      <c r="AO1" s="197"/>
      <c r="AP1" s="196"/>
      <c r="AQ1" s="186" t="s">
        <v>80</v>
      </c>
      <c r="AR1" s="187"/>
      <c r="AS1" s="187"/>
      <c r="AT1" s="187"/>
      <c r="AU1" s="188"/>
      <c r="AV1" s="136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</row>
    <row r="2" spans="1:63" s="155" customFormat="1" ht="30" customHeight="1" thickBot="1" x14ac:dyDescent="0.3">
      <c r="A2" s="190"/>
      <c r="B2" s="152" t="s">
        <v>75</v>
      </c>
      <c r="C2" s="152" t="s">
        <v>76</v>
      </c>
      <c r="D2" s="190"/>
      <c r="E2" s="194"/>
      <c r="F2" s="47" t="s">
        <v>36</v>
      </c>
      <c r="G2" s="48" t="s">
        <v>77</v>
      </c>
      <c r="H2" s="48" t="s">
        <v>235</v>
      </c>
      <c r="I2" s="47" t="s">
        <v>3</v>
      </c>
      <c r="J2" s="100" t="s">
        <v>108</v>
      </c>
      <c r="K2" s="49" t="s">
        <v>78</v>
      </c>
      <c r="L2" s="49" t="s">
        <v>237</v>
      </c>
      <c r="M2" s="49" t="s">
        <v>368</v>
      </c>
      <c r="N2" s="45" t="s">
        <v>27</v>
      </c>
      <c r="O2" s="45" t="s">
        <v>28</v>
      </c>
      <c r="P2" s="45" t="s">
        <v>29</v>
      </c>
      <c r="Q2" s="198"/>
      <c r="R2" s="48" t="s">
        <v>4</v>
      </c>
      <c r="S2" s="48" t="s">
        <v>232</v>
      </c>
      <c r="T2" s="48" t="s">
        <v>233</v>
      </c>
      <c r="U2" s="110" t="s">
        <v>129</v>
      </c>
      <c r="V2" s="110" t="s">
        <v>131</v>
      </c>
      <c r="W2" s="110" t="s">
        <v>195</v>
      </c>
      <c r="X2" s="110" t="s">
        <v>194</v>
      </c>
      <c r="Y2" s="202" t="s">
        <v>107</v>
      </c>
      <c r="Z2" s="203"/>
      <c r="AA2" s="52" t="s">
        <v>105</v>
      </c>
      <c r="AB2" s="52" t="s">
        <v>67</v>
      </c>
      <c r="AC2" s="120" t="s">
        <v>127</v>
      </c>
      <c r="AD2" s="120" t="s">
        <v>238</v>
      </c>
      <c r="AE2" s="120" t="s">
        <v>107</v>
      </c>
      <c r="AF2" s="47" t="s">
        <v>23</v>
      </c>
      <c r="AG2" s="152" t="s">
        <v>123</v>
      </c>
      <c r="AH2" s="47" t="s">
        <v>92</v>
      </c>
      <c r="AI2" s="152" t="s">
        <v>5</v>
      </c>
      <c r="AJ2" s="152" t="s">
        <v>6</v>
      </c>
      <c r="AK2" s="49" t="s">
        <v>125</v>
      </c>
      <c r="AL2" s="49" t="s">
        <v>359</v>
      </c>
      <c r="AM2" s="49" t="s">
        <v>64</v>
      </c>
      <c r="AN2" s="49" t="s">
        <v>107</v>
      </c>
      <c r="AO2" s="49" t="s">
        <v>367</v>
      </c>
      <c r="AP2" s="47" t="s">
        <v>7</v>
      </c>
      <c r="AQ2" s="152" t="s">
        <v>234</v>
      </c>
      <c r="AR2" s="50" t="s">
        <v>83</v>
      </c>
      <c r="AS2" s="51" t="s">
        <v>81</v>
      </c>
      <c r="AT2" s="51" t="s">
        <v>82</v>
      </c>
      <c r="AU2" s="47" t="s">
        <v>7</v>
      </c>
      <c r="AV2" s="153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</row>
    <row r="3" spans="1:63" s="6" customFormat="1" ht="35.1" customHeight="1" thickBot="1" x14ac:dyDescent="0.3">
      <c r="A3" s="35" t="s">
        <v>19</v>
      </c>
      <c r="B3" s="35" t="s">
        <v>370</v>
      </c>
      <c r="C3" s="35" t="s">
        <v>369</v>
      </c>
      <c r="D3" s="36">
        <v>480</v>
      </c>
      <c r="E3" s="36">
        <v>3</v>
      </c>
      <c r="F3" s="37"/>
      <c r="G3" s="37">
        <v>150</v>
      </c>
      <c r="H3" s="43">
        <f>IFERROR(VLOOKUP(F3,MOTOR!A5:B38,2),)</f>
        <v>0</v>
      </c>
      <c r="I3" s="38">
        <f>IF($F3&gt;0,VLOOKUP($F3,MOTOR,7,FALSE),1)</f>
        <v>1</v>
      </c>
      <c r="J3" s="38">
        <f>IF($F3&gt;0,VLOOKUP($F3,MOTOR,6,FALSE),1)</f>
        <v>1</v>
      </c>
      <c r="K3" s="36">
        <v>320</v>
      </c>
      <c r="L3" s="36">
        <v>40</v>
      </c>
      <c r="M3" s="36">
        <v>6</v>
      </c>
      <c r="N3" s="38">
        <f>IFERROR(
  IF(OR(Q3="E",Q3="F"),
    INDEX('Fatores de correção'!$B$24:$M$27,MATCH("Métodos E e F",'Fatores de correção'!$A$24:$A$27,0),MATCH(M3,'Fatores de correção'!$B$23:$M$23,0)),
    IF(OR(Q3="B2",Q3="B1",Q3="D"),
      INDEX('Fatores de correção'!$B$24:$M$27,MATCH("Métodos A a F",'Fatores de correção'!$A$24:$A$27,0),MATCH(M3,'Fatores de correção'!$B$23:$M$23,0)),
      "")
  ),
  "Valor não encontrado")</f>
        <v>0.73</v>
      </c>
      <c r="O3" s="38">
        <f>IFERROR(
  IF(OR(Q3="B1",Q3="B2",Q3="E",Q3="F"),
    IF(AD3="PVC",VLOOKUP(L3,'Fatores de correção'!A5:C19,2,FALSE),VLOOKUP(L3,'Fatores de correção'!A5:C19,3,FALSE)),
    IF(Q3="D",
      IF(AD3="PVC",VLOOKUP(L3,'Fatores de correção'!A5:E19,4,FALSE),VLOOKUP(L3,'Fatores de correção'!A5:E19,5,FALSE)),
      "Método inválido")
  ),
  "Valor não encontrado")</f>
        <v>0.91</v>
      </c>
      <c r="P3" s="38">
        <f>IF(G3&gt;0,1,IF(1/(N3*O3)&lt;1.25,1.25,1))</f>
        <v>1</v>
      </c>
      <c r="Q3" s="39" t="s">
        <v>72</v>
      </c>
      <c r="R3" s="43">
        <f>IFERROR(IF(G3=0,IF(E3=3,F3*1000/(D3*SQRT(3)*I3*J3),IF(OR(E3=2,E3=1),F3*1000/(D3*I3*J3),"FASES ERRÓNEAS")),IF(E3=3,G3*1000/(D3*J3*SQRT(3)),IF(OR(E3=2,E3=1),G3*1000/(D3*J3),"FASES ERRÓNEAS"))),"FROM")</f>
        <v>180.42195912175808</v>
      </c>
      <c r="S3" s="43">
        <f>IFERROR(IF(1/(N3*O3)&lt;P3,R3*P3,1/(N3*O3)*R3),"FROM")</f>
        <v>271.59710841751928</v>
      </c>
      <c r="T3" s="43">
        <f>IFERROR(S3/Y3,0)</f>
        <v>271.59710841751928</v>
      </c>
      <c r="U3" s="149">
        <f ca="1">IF(R3="FROM","-",IF(AND(F3=0,G3=0),"-",IF(F3=0,IF(R3&lt;CABLES1!$BL$5,CABLES1!$BL$5,IF(LOOKUP(R3*1.05,CABLES1!$BL$4:$BL$30,CABLES1!$BL$5:$BL$30)&lt;=AC3*Y3,LOOKUP(R3*1.05,CABLES1!$BL$4:$BL$30,CABLES1!$BL$5:$BL$30),"Erro")),IF(D3=440,VLOOKUP(F3,MOTOR!$I$5:$L$38,2,FALSE),IF(D3=380,VLOOKUP(F3,MOTOR!$M$5:$P$38,2,FALSE),IF(D3=220,VLOOKUP(F3,MOTOR!$Q$5:$T$38,2,FALSE),"Tensão"))))))</f>
        <v>200</v>
      </c>
      <c r="V3" s="149">
        <f ca="1">IFERROR(IF(AND(F3=0,G3=0),"-",IF(R3&lt;CABLES1!$BM$5,CABLES1!$BM$5,LOOKUP(R3*1.2,CABLES1!$BM$4:$BM$21,CABLES1!$BM$5:$BM$21))),"-")</f>
        <v>250</v>
      </c>
      <c r="W3" s="149" t="str">
        <f>IFERROR(IF(R3="FROM","-",IF(D3=440,VLOOKUP(F3,MOTOR!$I$5:$L$38,3,FALSE),IF(D3=380,VLOOKUP(F3,MOTOR!$M$5:$P$38,3,FALSE),IF(D3=220,VLOOKUP(F3,MOTOR!$Q$5:$T$38,3,FALSE),"-")))),"-")</f>
        <v>-</v>
      </c>
      <c r="X3" s="149" t="str">
        <f>IFERROR(IF(R3="FROM","-",IF(D3=440,VLOOKUP(F3,MOTOR!$I$5:$L$38,4,FALSE),IF(D3=380,VLOOKUP(F3,MOTOR!$M$5:$P$38,4,FALSE),IF(D3=220,VLOOKUP(F3,MOTOR!$Q$5:$T$38,4,FALSE),"-")))),"-")</f>
        <v>-</v>
      </c>
      <c r="Y3" s="160">
        <f>IFERROR(IF(AE3&gt;AN3,AE3,AN3),"-")</f>
        <v>1</v>
      </c>
      <c r="Z3" s="104" t="s">
        <v>25</v>
      </c>
      <c r="AA3" s="105" t="s">
        <v>88</v>
      </c>
      <c r="AB3" s="156">
        <f>IFERROR(IF(AE3&gt;AN3,AF3,MAX(AF3,AO3)),"-")</f>
        <v>240</v>
      </c>
      <c r="AC3" s="106" cm="1">
        <f t="array" ref="AC3">IF(AD3="HEPR",IF(E3=3,INDEX(_xlfn._xlws.FILTER(Cabos!$D:$D,Cabos!$A:$A=Q3),MATCH(AB3,_xlfn._xlws.FILTER(Cabos!$B:$B,Cabos!$A:$A=Q3),0)),INDEX(_xlfn._xlws.FILTER(Cabos!$C:$C,Cabos!$A:$A=Q3),MATCH(AB3,_xlfn._xlws.FILTER(Cabos!$B:$B,Cabos!$A:$A=Q3),0))),IF(AD3="PVC",IF(E3=3,INDEX(_xlfn._xlws.FILTER(Cabos!$F:$F,Cabos!$A:$A=Q3),MATCH(AB3,_xlfn._xlws.FILTER(Cabos!$B:$B,Cabos!$A:$A=Q3),0)),INDEX(_xlfn._xlws.FILTER(Cabos!$E:$E,Cabos!$A:$A=Q3),MATCH(AB3,_xlfn._xlws.FILTER(Cabos!$B:$B,Cabos!$A:$A=Q3),0))),"Tipo de isolação inválido"))</f>
        <v>607</v>
      </c>
      <c r="AD3" s="177" t="s">
        <v>239</v>
      </c>
      <c r="AE3" s="180" cm="1">
        <f t="array" ref="AE3">IF(S3=0,1,CEILING(S3/INDEX(_xlfn._xlws.FILTER(IF(AD3="HEPR",IF(E3=3,Cabos!$D:$D,Cabos!$C:$C),IF(E3=3,Cabos!$F:$F,Cabos!$E:$E)),Cabos!$A:$A=Q3),MATCH(240,_xlfn._xlws.FILTER(Cabos!$B:$B,Cabos!$A:$A=Q3),0)),1))</f>
        <v>1</v>
      </c>
      <c r="AF3" s="181" cm="1">
        <f t="array" ref="AF3">IF(AD3="HEPR",IF(E3=3,_xlfn.XLOOKUP(S3/AE3,_xlfn._xlws.FILTER(Cabos!$D:$D,Cabos!$A:$A=Q3,""),_xlfn._xlws.FILTER(Cabos!$B:$B,Cabos!$A:$A=Q3,""),"Não encontrado",1),_xlfn.XLOOKUP(S3/AE3,_xlfn._xlws.FILTER(Cabos!$C:$C,Cabos!$A:$A=Q3,""),_xlfn._xlws.FILTER(Cabos!$B:$B,Cabos!$A:$A=Q3,""),"Não encontrado",1)),IF(E3=3,_xlfn.XLOOKUP(S3/AE3,_xlfn._xlws.FILTER(Cabos!$F:$F,Cabos!$A:$A=Q3,""),_xlfn._xlws.FILTER(Cabos!$B:$B,Cabos!$A:$A=Q3,""),"Não encontrado",1),_xlfn.XLOOKUP(S3/AE3,_xlfn._xlws.FILTER(Cabos!$E:$E,Cabos!$A:$A=Q3,""),_xlfn._xlws.FILTER(Cabos!$B:$B,Cabos!$A:$A=Q3,""),"Não encontrado",1)))</f>
        <v>95</v>
      </c>
      <c r="AG3" s="151" t="str">
        <f>Y3&amp;" x"</f>
        <v>1 x</v>
      </c>
      <c r="AH3" s="150" t="str">
        <f ca="1">IFERROR(LOOKUP(IF(IF(AA3="3x1",3,IF(AA3="4x1",4,1))=1,SQRT(((((INDEX(CABLES1!$D$45:$I$60,MATCH(AB3,CABLES1!$B$45:$B$60,0),MATCH(AA3,CABLES1!$D$44:$I$44,0))/2)^2)*3.1416)*IF(AA3="3x1",3,IF(AA3="4x1",4,1))/0.53)/3.1416)*2,SQRT(((((INDEX(CABLES1!$D$45:$I$60,MATCH(AB3,CABLES1!$B$45:$B$60,0),MATCH(AA3,CABLES1!$D$44:$I$44,0))/2)^2)*3.1416)*IF(AA3="3x1",3,IF(AA3="4x1",4,1))/0.4)/3.1416)*2),CABLES1!$N$23:$N$36,CABLES1!$M$24:$M$36),"-")</f>
        <v>3.1/2"</v>
      </c>
      <c r="AI3" s="38">
        <f>IF(AD3="PVC",IF(OR(AA3="1x3",AA3="1x3 BL",AA3="1x4"),INDEX(Resistência!$B$2:$I$21,MATCH(AO3,Resistência!$A$2:$A$21,0),7),IF(OR(AA3="3x1",AA3="4x1"),INDEX(Resistência!$B$2:$I$21,MATCH(AO3,Resistência!$A$2:$A$21,0),5),IF(AA3="1x2",INDEX(Resistência!$B$2:$I$21,MATCH(AO3,Resistência!$A$2:$A$21,0),3),IF(AA3="2x1",INDEX(Resistência!$B$2:$I$21,MATCH(AB3,Resistência!$A$2:$A$21,0),1),"Não encontrado")))),IF(OR(AA3="1x3",AA3="1x3 BL",AA3="1x4"),INDEX(Resistência!$B$25:$I$44,MATCH(AB3,Resistência!$A$25:$A$44,0),7),IF(OR(AA3="3x1",AA3="4x1"),INDEX(Resistência!$B$25:$I$44,MATCH(AB3,Resistência!$A$25:$A$44,0),5),IF(AA3="1x2",INDEX(Resistência!$B$25:$I$44,MATCH(AB3,Resistência!$A$25:$A$44,0),3),IF(AA3="2x1",INDEX(Resistência!$B$25:$I$44,MATCH(AB3,Resistência!$A$25:$A$44,0),1),"Não encontrado")))))</f>
        <v>0.1</v>
      </c>
      <c r="AJ3" s="38">
        <f>IF(AD3="PVC",IF(OR(AA3="1x3",AA3="1x3 BL",AA3="1x4"),INDEX(Resistência!$B$2:$I$21,MATCH(AB3,Resistência!$A$2:$A$21,0),8),IF(OR(AA3="3x1",AA3="4x1"),INDEX(Resistência!$B$2:$I$21,MATCH(AB3,Resistência!$A$2:$A$21,0),6),IF(AA3="1x2",INDEX(Resistência!$B$2:$I$21,MATCH(AB3,Resistência!$A$2:$A$21,0),4),IF(AA3="2x1",INDEX(Resistência!$B$2:$I$21,MATCH(AB3,Resistência!$A$2:$A$21,0),2),"Não encontrado")))),IF(AD3="HEPR",IF(OR(AA3="1x3",AA3="1x3 BL",AA3="1x4"),INDEX(Resistência!$B$25:$I$44,MATCH(AB3,Resistência!$A$25:$A$44,0),8),IF(OR(AA3="3x1",AA3="4x1"),INDEX(Resistência!$B$25:$I$44,MATCH(AB3,Resistência!$A$25:$A$44,0),6),IF(AA3="1x2",INDEX(Resistência!$B$25:$I$44,MATCH(AB3,Resistência!$A$25:$A$44,0),4),IF(AA3="2x1",INDEX(Resistência!$B$25:$I$44,MATCH(AB3,Resistência!$A$25:$A$44,0),2),"Não encontrado"))))))</f>
        <v>0.09</v>
      </c>
      <c r="AK3" s="40">
        <v>3</v>
      </c>
      <c r="AL3" s="38">
        <f>IFERROR((IFERROR(IF(E3=3,(SQRT(3)*R3*(K3/1000)*SQRT(AI3^2+AJ3^2))/AE3,(2*R3*(K3/1000)*SQRT(AI3^2+AJ3^2))/AE3),"Erro")/D3)*100,"–")</f>
        <v>2.802838343140357</v>
      </c>
      <c r="AM3" s="38">
        <f>IFERROR(((D3*(AK3/100))/((R3/INT(AN3))*(K3/1000))),"-")</f>
        <v>0.24941531628991825</v>
      </c>
      <c r="AN3" s="182">
        <f>INT(IFERROR(IF(OR(AA3="1x2",AA3="1x3",AA3="1x3 BL",AA3="1x4"),CABLES1!$BG$5/((D3*(AK3/100))/((R3)*(K3/1000)))+1,CABLES1!$BI$5/((D3*(AK3/100))/((R3)*(K3/1000)))+1),"-"))</f>
        <v>1</v>
      </c>
      <c r="AO3" s="43" cm="1">
        <f t="array" ref="AO3">IF(AD3="HEPR",INDEX(tensão!$A$6:$A$22,IFERROR(MATCH(AM3,IF(AF3&lt;150,IF(AA3="2x1",tensão!$C$6:$C$22,IF(AA3="1x2",tensão!$E$6:$E$22,IF(AA3="3x1",tensão!$G$6:$G$22,IF(AA3="1x3",tensão!$I$6:$I$22,IF(AA3="1x3 BL",tensão!$I$6:$I$22,IF(AA3="1x4",tensão!$I$6:$I$22,IF(AA3="4x1",tensão!$G$6:$G$22,"Não encontrado"))))))),IF(AA3="2x1",tensão!$B$6:$B$22,IF(AA3="1x2",tensão!$D$6:$D$22,IF(AA3="3x1",tensão!$F$6:$F$22,IF(AA3="1x3",tensão!$H$6:$H$22,IF(AA3="1x3 BL",tensão!$H$6:$H$22,IF(AA3="1x4",tensão!$H$6:$H$22,IF(AA3="4x1",tensão!$F$6:$F$22,"Não encontrado")))))))),-1)+1,1)),IF(AD3="PVC",INDEX(tensão!$A$29:$A$45,IFERROR(MATCH(AM3,IF(AF3&lt;150,IF(AA3="2x1",tensão!$C$29:$C$45,IF(AA3="1x2",tensão!$E$29:$E$45,IF(AA3="3x1",tensão!$G$29:$G$45,IF(AA3="1x3",tensão!$I$29:$I$45,IF(AA3="1x3 BL",tensão!$I$29:$I$45,IF(AA3="1x4",tensão!$I$29:$I$45,IF(AA3="4x1",tensão!$G$29:$G$45,"Não encontrado"))))))),IF(AA3="2x1",tensão!$B$29:$B$45,IF(AA3="1x2",tensão!$D$29:$D$45,IF(AA3="3x1",tensão!$F$29:$F$45,IF(AA3="1x3",tensão!$H$29:$H$45,IF(AA3="1x3 BL",tensão!$H$29:$H$45,IF(AA3="1x4",tensão!$H$29:$H$45,IF(AA3="4x1",tensão!$F$29:$F$45,"Não encontrado")))))))),-1)+1,1)),"Tipo de isolação inválido"))</f>
        <v>240</v>
      </c>
      <c r="AP3" s="41" t="str">
        <f>IF(AL3&lt;=AK3,"OK","X")</f>
        <v>OK</v>
      </c>
      <c r="AQ3" s="36">
        <v>80</v>
      </c>
      <c r="AR3" s="40">
        <v>0.05</v>
      </c>
      <c r="AS3" s="42">
        <f>IFERROR(D3/(SQRT(3)*(K3*SQRT((AI3^2)+(AJ3^2))+D3/(SQRT(3)*AQ3))),"FROM")</f>
        <v>5.9577333621929514</v>
      </c>
      <c r="AT3" s="38">
        <f>IFERROR(142*AB3*IF(Y3="",1,Y3)/SQRT(AR3)/1000,"-")</f>
        <v>152.41039334638569</v>
      </c>
      <c r="AU3" s="41" t="str">
        <f>IF(AS3&lt;=AT3,"OK","X")</f>
        <v>OK</v>
      </c>
    </row>
    <row r="4" spans="1:63" ht="35.1" customHeight="1" x14ac:dyDescent="0.25"/>
    <row r="5" spans="1:63" ht="35.1" customHeight="1" x14ac:dyDescent="0.25">
      <c r="H5" s="116"/>
      <c r="R5" s="172"/>
      <c r="AI5" s="175"/>
      <c r="AJ5" s="176"/>
      <c r="AO5" s="174"/>
    </row>
    <row r="6" spans="1:63" ht="35.1" customHeight="1" x14ac:dyDescent="0.25">
      <c r="H6" s="178"/>
    </row>
    <row r="7" spans="1:63" ht="35.1" customHeight="1" x14ac:dyDescent="0.25">
      <c r="H7" s="179"/>
    </row>
    <row r="8" spans="1:63" ht="35.1" customHeight="1" x14ac:dyDescent="0.25">
      <c r="H8" s="179"/>
      <c r="AB8" s="158"/>
    </row>
    <row r="9" spans="1:63" ht="35.1" customHeight="1" x14ac:dyDescent="0.25">
      <c r="H9" s="179"/>
      <c r="U9" s="172"/>
    </row>
    <row r="10" spans="1:63" ht="35.1" customHeight="1" x14ac:dyDescent="0.25">
      <c r="H10" s="179"/>
    </row>
    <row r="11" spans="1:63" ht="35.1" customHeight="1" x14ac:dyDescent="0.25">
      <c r="H11" s="179"/>
    </row>
    <row r="12" spans="1:63" ht="35.1" customHeight="1" x14ac:dyDescent="0.25">
      <c r="H12" s="179"/>
    </row>
    <row r="13" spans="1:63" ht="35.1" customHeight="1" x14ac:dyDescent="0.25">
      <c r="H13" s="179"/>
    </row>
    <row r="14" spans="1:63" ht="35.1" customHeight="1" x14ac:dyDescent="0.25">
      <c r="H14" s="179"/>
    </row>
    <row r="15" spans="1:63" ht="35.1" customHeight="1" x14ac:dyDescent="0.25">
      <c r="D15" s="157"/>
    </row>
    <row r="16" spans="1:63" ht="35.1" customHeight="1" x14ac:dyDescent="0.25"/>
    <row r="17" ht="35.1" customHeight="1" x14ac:dyDescent="0.25"/>
    <row r="18" ht="35.1" customHeight="1" x14ac:dyDescent="0.25"/>
    <row r="19" ht="35.1" customHeight="1" x14ac:dyDescent="0.25"/>
    <row r="20" ht="35.1" customHeight="1" x14ac:dyDescent="0.25"/>
    <row r="21" ht="35.1" customHeight="1" x14ac:dyDescent="0.25"/>
    <row r="22" ht="35.1" customHeight="1" x14ac:dyDescent="0.25"/>
    <row r="23" ht="35.1" customHeight="1" x14ac:dyDescent="0.25"/>
    <row r="24" ht="35.1" customHeight="1" x14ac:dyDescent="0.25"/>
    <row r="25" ht="35.1" customHeight="1" x14ac:dyDescent="0.25"/>
    <row r="26" ht="35.1" customHeight="1" x14ac:dyDescent="0.25"/>
    <row r="27" ht="35.1" customHeight="1" x14ac:dyDescent="0.25"/>
    <row r="28" ht="35.1" customHeight="1" x14ac:dyDescent="0.25"/>
    <row r="29" ht="35.1" customHeight="1" x14ac:dyDescent="0.25"/>
    <row r="30" ht="35.1" customHeight="1" x14ac:dyDescent="0.25"/>
    <row r="31" ht="35.1" customHeight="1" x14ac:dyDescent="0.25"/>
    <row r="32" ht="35.1" customHeight="1" x14ac:dyDescent="0.25"/>
    <row r="33" ht="35.1" customHeight="1" x14ac:dyDescent="0.25"/>
    <row r="34" ht="35.1" customHeight="1" x14ac:dyDescent="0.25"/>
    <row r="35" ht="35.1" customHeight="1" x14ac:dyDescent="0.25"/>
    <row r="36" ht="35.1" customHeight="1" x14ac:dyDescent="0.25"/>
    <row r="37" ht="35.1" customHeight="1" x14ac:dyDescent="0.25"/>
    <row r="38" ht="35.1" customHeight="1" x14ac:dyDescent="0.25"/>
    <row r="39" ht="35.1" customHeight="1" x14ac:dyDescent="0.25"/>
    <row r="40" ht="35.1" customHeight="1" x14ac:dyDescent="0.25"/>
    <row r="41" ht="35.1" customHeight="1" x14ac:dyDescent="0.25"/>
    <row r="42" ht="35.1" customHeight="1" x14ac:dyDescent="0.25"/>
    <row r="43" ht="35.1" customHeight="1" x14ac:dyDescent="0.25"/>
    <row r="44" ht="35.1" customHeight="1" x14ac:dyDescent="0.25"/>
    <row r="45" ht="35.1" customHeight="1" x14ac:dyDescent="0.25"/>
    <row r="46" ht="35.1" customHeight="1" x14ac:dyDescent="0.25"/>
    <row r="47" ht="35.1" customHeight="1" x14ac:dyDescent="0.25"/>
    <row r="48" ht="35.1" customHeight="1" x14ac:dyDescent="0.25"/>
    <row r="49" ht="35.1" customHeight="1" x14ac:dyDescent="0.25"/>
    <row r="50" ht="35.1" customHeight="1" x14ac:dyDescent="0.25"/>
    <row r="51" ht="35.1" customHeight="1" x14ac:dyDescent="0.25"/>
    <row r="52" ht="35.1" customHeight="1" x14ac:dyDescent="0.25"/>
    <row r="53" ht="35.1" customHeight="1" x14ac:dyDescent="0.25"/>
    <row r="54" ht="35.1" customHeight="1" x14ac:dyDescent="0.25"/>
    <row r="55" ht="35.1" customHeight="1" x14ac:dyDescent="0.25"/>
    <row r="56" ht="35.1" customHeight="1" x14ac:dyDescent="0.25"/>
    <row r="57" ht="35.1" customHeight="1" x14ac:dyDescent="0.25"/>
    <row r="58" ht="35.1" customHeight="1" x14ac:dyDescent="0.25"/>
    <row r="59" ht="35.1" customHeight="1" x14ac:dyDescent="0.25"/>
    <row r="60" ht="35.1" customHeight="1" x14ac:dyDescent="0.25"/>
    <row r="61" ht="35.1" customHeight="1" x14ac:dyDescent="0.25"/>
    <row r="62" ht="35.1" customHeight="1" x14ac:dyDescent="0.25"/>
    <row r="63" ht="35.1" customHeight="1" x14ac:dyDescent="0.25"/>
    <row r="6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5.1" customHeight="1" x14ac:dyDescent="0.25"/>
    <row r="106" ht="35.1" customHeight="1" x14ac:dyDescent="0.25"/>
    <row r="107" ht="35.1" customHeight="1" x14ac:dyDescent="0.25"/>
    <row r="108" ht="35.1" customHeight="1" x14ac:dyDescent="0.25"/>
    <row r="109" ht="35.1" customHeight="1" x14ac:dyDescent="0.25"/>
    <row r="110" ht="35.1" customHeight="1" x14ac:dyDescent="0.25"/>
    <row r="111" ht="35.1" customHeight="1" x14ac:dyDescent="0.25"/>
    <row r="112" ht="35.1" customHeight="1" x14ac:dyDescent="0.25"/>
    <row r="113" ht="35.1" customHeight="1" x14ac:dyDescent="0.25"/>
    <row r="114" ht="35.1" customHeight="1" x14ac:dyDescent="0.25"/>
    <row r="115" ht="35.1" customHeight="1" x14ac:dyDescent="0.25"/>
    <row r="116" ht="35.1" customHeight="1" x14ac:dyDescent="0.25"/>
    <row r="117" ht="35.1" customHeight="1" x14ac:dyDescent="0.25"/>
    <row r="118" ht="35.1" customHeight="1" x14ac:dyDescent="0.25"/>
    <row r="119" ht="35.1" customHeight="1" x14ac:dyDescent="0.25"/>
    <row r="120" ht="35.1" customHeight="1" x14ac:dyDescent="0.25"/>
    <row r="121" ht="35.1" customHeight="1" x14ac:dyDescent="0.25"/>
    <row r="122" ht="35.1" customHeight="1" x14ac:dyDescent="0.25"/>
    <row r="123" ht="35.1" customHeight="1" x14ac:dyDescent="0.25"/>
    <row r="124" ht="35.1" customHeight="1" x14ac:dyDescent="0.25"/>
    <row r="125" ht="35.1" customHeight="1" x14ac:dyDescent="0.25"/>
    <row r="126" ht="35.1" customHeight="1" x14ac:dyDescent="0.25"/>
    <row r="127" ht="35.1" customHeight="1" x14ac:dyDescent="0.25"/>
    <row r="128" ht="35.1" customHeight="1" x14ac:dyDescent="0.25"/>
    <row r="129" ht="35.1" customHeight="1" x14ac:dyDescent="0.25"/>
    <row r="130" ht="35.1" customHeight="1" x14ac:dyDescent="0.25"/>
    <row r="131" ht="35.1" customHeight="1" x14ac:dyDescent="0.25"/>
    <row r="132" ht="35.1" customHeight="1" x14ac:dyDescent="0.25"/>
    <row r="133" ht="35.1" customHeight="1" x14ac:dyDescent="0.25"/>
    <row r="134" ht="35.1" customHeight="1" x14ac:dyDescent="0.25"/>
    <row r="135" ht="35.1" customHeight="1" x14ac:dyDescent="0.25"/>
    <row r="136" ht="35.1" customHeight="1" x14ac:dyDescent="0.25"/>
    <row r="137" ht="35.1" customHeight="1" x14ac:dyDescent="0.25"/>
    <row r="138" ht="35.1" customHeight="1" x14ac:dyDescent="0.25"/>
    <row r="139" ht="35.1" customHeight="1" x14ac:dyDescent="0.25"/>
    <row r="140" ht="35.1" customHeight="1" x14ac:dyDescent="0.25"/>
    <row r="141" ht="35.1" customHeight="1" x14ac:dyDescent="0.25"/>
    <row r="142" ht="35.1" customHeight="1" x14ac:dyDescent="0.25"/>
    <row r="143" ht="35.1" customHeight="1" x14ac:dyDescent="0.25"/>
    <row r="144" ht="35.1" customHeight="1" x14ac:dyDescent="0.25"/>
    <row r="145" ht="35.1" customHeight="1" x14ac:dyDescent="0.25"/>
    <row r="146" ht="35.1" customHeight="1" x14ac:dyDescent="0.25"/>
    <row r="147" ht="35.1" customHeight="1" x14ac:dyDescent="0.25"/>
    <row r="148" ht="35.1" customHeight="1" x14ac:dyDescent="0.25"/>
    <row r="149" ht="35.1" customHeight="1" x14ac:dyDescent="0.25"/>
    <row r="150" ht="35.1" customHeight="1" x14ac:dyDescent="0.25"/>
    <row r="151" ht="35.1" customHeight="1" x14ac:dyDescent="0.25"/>
    <row r="152" ht="35.1" customHeight="1" x14ac:dyDescent="0.25"/>
    <row r="153" ht="35.1" customHeight="1" x14ac:dyDescent="0.25"/>
    <row r="154" ht="35.1" customHeight="1" x14ac:dyDescent="0.25"/>
    <row r="155" ht="35.1" customHeight="1" x14ac:dyDescent="0.25"/>
    <row r="156" ht="35.1" customHeight="1" x14ac:dyDescent="0.25"/>
    <row r="157" ht="35.1" customHeight="1" x14ac:dyDescent="0.25"/>
    <row r="158" ht="35.1" customHeight="1" x14ac:dyDescent="0.25"/>
    <row r="159" ht="35.1" customHeight="1" x14ac:dyDescent="0.25"/>
    <row r="160" ht="35.1" customHeight="1" x14ac:dyDescent="0.25"/>
    <row r="161" ht="35.1" customHeight="1" x14ac:dyDescent="0.25"/>
    <row r="162" ht="35.1" customHeight="1" x14ac:dyDescent="0.25"/>
    <row r="163" ht="35.1" customHeight="1" x14ac:dyDescent="0.25"/>
    <row r="164" ht="35.1" customHeight="1" x14ac:dyDescent="0.25"/>
    <row r="165" ht="35.1" customHeight="1" x14ac:dyDescent="0.25"/>
    <row r="166" ht="35.1" customHeight="1" x14ac:dyDescent="0.25"/>
    <row r="167" ht="35.1" customHeight="1" x14ac:dyDescent="0.25"/>
    <row r="168" ht="35.1" customHeight="1" x14ac:dyDescent="0.25"/>
    <row r="169" ht="35.1" customHeight="1" x14ac:dyDescent="0.25"/>
    <row r="170" ht="35.1" customHeight="1" x14ac:dyDescent="0.25"/>
    <row r="171" ht="35.1" customHeight="1" x14ac:dyDescent="0.25"/>
    <row r="172" ht="35.1" customHeight="1" x14ac:dyDescent="0.25"/>
    <row r="173" ht="35.1" customHeight="1" x14ac:dyDescent="0.25"/>
    <row r="174" ht="35.1" customHeight="1" x14ac:dyDescent="0.25"/>
    <row r="175" ht="35.1" customHeight="1" x14ac:dyDescent="0.25"/>
    <row r="176" ht="35.1" customHeight="1" x14ac:dyDescent="0.25"/>
    <row r="177" ht="35.1" customHeight="1" x14ac:dyDescent="0.25"/>
    <row r="178" ht="35.1" customHeight="1" x14ac:dyDescent="0.25"/>
    <row r="179" ht="35.1" customHeight="1" x14ac:dyDescent="0.25"/>
    <row r="180" ht="35.1" customHeight="1" x14ac:dyDescent="0.25"/>
    <row r="181" ht="35.1" customHeight="1" x14ac:dyDescent="0.25"/>
    <row r="182" ht="35.1" customHeight="1" x14ac:dyDescent="0.25"/>
    <row r="183" ht="35.1" customHeight="1" x14ac:dyDescent="0.25"/>
    <row r="184" ht="35.1" customHeight="1" x14ac:dyDescent="0.25"/>
    <row r="185" ht="35.1" customHeight="1" x14ac:dyDescent="0.25"/>
    <row r="186" ht="35.1" customHeight="1" x14ac:dyDescent="0.25"/>
    <row r="187" ht="35.1" customHeight="1" x14ac:dyDescent="0.25"/>
    <row r="188" ht="35.1" customHeight="1" x14ac:dyDescent="0.25"/>
    <row r="189" ht="35.1" customHeight="1" x14ac:dyDescent="0.25"/>
    <row r="190" ht="35.1" customHeight="1" x14ac:dyDescent="0.25"/>
    <row r="191" ht="35.1" customHeight="1" x14ac:dyDescent="0.25"/>
    <row r="192" ht="35.1" customHeight="1" x14ac:dyDescent="0.25"/>
    <row r="193" ht="35.1" customHeight="1" x14ac:dyDescent="0.25"/>
    <row r="194" ht="35.1" customHeight="1" x14ac:dyDescent="0.25"/>
    <row r="195" ht="35.1" customHeight="1" x14ac:dyDescent="0.25"/>
    <row r="196" ht="35.1" customHeight="1" x14ac:dyDescent="0.25"/>
    <row r="197" ht="35.1" customHeight="1" x14ac:dyDescent="0.25"/>
    <row r="198" ht="35.1" customHeight="1" x14ac:dyDescent="0.25"/>
    <row r="199" ht="35.1" customHeight="1" x14ac:dyDescent="0.25"/>
    <row r="200" ht="35.1" customHeight="1" x14ac:dyDescent="0.25"/>
    <row r="201" ht="35.1" customHeight="1" x14ac:dyDescent="0.25"/>
    <row r="202" ht="35.1" customHeight="1" x14ac:dyDescent="0.25"/>
    <row r="203" ht="35.1" customHeight="1" x14ac:dyDescent="0.25"/>
    <row r="204" ht="35.1" customHeight="1" x14ac:dyDescent="0.25"/>
    <row r="205" ht="35.1" customHeight="1" x14ac:dyDescent="0.25"/>
    <row r="206" ht="35.1" customHeight="1" x14ac:dyDescent="0.25"/>
    <row r="207" ht="35.1" customHeight="1" x14ac:dyDescent="0.25"/>
    <row r="208" ht="35.1" customHeight="1" x14ac:dyDescent="0.25"/>
    <row r="209" ht="35.1" customHeight="1" x14ac:dyDescent="0.25"/>
    <row r="210" ht="35.1" customHeight="1" x14ac:dyDescent="0.25"/>
    <row r="211" ht="35.1" customHeight="1" x14ac:dyDescent="0.25"/>
    <row r="212" ht="35.1" customHeight="1" x14ac:dyDescent="0.25"/>
    <row r="213" ht="35.1" customHeight="1" x14ac:dyDescent="0.25"/>
    <row r="214" ht="35.1" customHeight="1" x14ac:dyDescent="0.25"/>
    <row r="215" ht="35.1" customHeight="1" x14ac:dyDescent="0.25"/>
    <row r="216" ht="35.1" customHeight="1" x14ac:dyDescent="0.25"/>
    <row r="217" ht="35.1" customHeight="1" x14ac:dyDescent="0.25"/>
    <row r="218" ht="35.1" customHeight="1" x14ac:dyDescent="0.25"/>
    <row r="219" ht="35.1" customHeight="1" x14ac:dyDescent="0.25"/>
    <row r="220" ht="35.1" customHeight="1" x14ac:dyDescent="0.25"/>
    <row r="221" ht="35.1" customHeight="1" x14ac:dyDescent="0.25"/>
    <row r="222" ht="35.1" customHeight="1" x14ac:dyDescent="0.25"/>
    <row r="223" ht="35.1" customHeight="1" x14ac:dyDescent="0.25"/>
    <row r="224" ht="35.1" customHeight="1" x14ac:dyDescent="0.25"/>
    <row r="225" ht="35.1" customHeight="1" x14ac:dyDescent="0.25"/>
    <row r="226" ht="35.1" customHeight="1" x14ac:dyDescent="0.25"/>
    <row r="227" ht="35.1" customHeight="1" x14ac:dyDescent="0.25"/>
    <row r="228" ht="35.1" customHeight="1" x14ac:dyDescent="0.25"/>
    <row r="229" ht="35.1" customHeight="1" x14ac:dyDescent="0.25"/>
    <row r="230" ht="35.1" customHeight="1" x14ac:dyDescent="0.25"/>
    <row r="231" ht="35.1" customHeight="1" x14ac:dyDescent="0.25"/>
    <row r="232" ht="35.1" customHeight="1" x14ac:dyDescent="0.25"/>
    <row r="233" ht="35.1" customHeight="1" x14ac:dyDescent="0.25"/>
    <row r="234" ht="35.1" customHeight="1" x14ac:dyDescent="0.25"/>
    <row r="235" ht="35.1" customHeight="1" x14ac:dyDescent="0.25"/>
    <row r="236" ht="35.1" customHeight="1" x14ac:dyDescent="0.25"/>
    <row r="237" ht="35.1" customHeight="1" x14ac:dyDescent="0.25"/>
    <row r="238" ht="35.1" customHeight="1" x14ac:dyDescent="0.25"/>
    <row r="239" ht="35.1" customHeight="1" x14ac:dyDescent="0.25"/>
    <row r="240" ht="35.1" customHeight="1" x14ac:dyDescent="0.25"/>
    <row r="241" ht="35.1" customHeight="1" x14ac:dyDescent="0.25"/>
    <row r="242" ht="35.1" customHeight="1" x14ac:dyDescent="0.25"/>
    <row r="243" ht="35.1" customHeight="1" x14ac:dyDescent="0.25"/>
    <row r="244" ht="35.1" customHeight="1" x14ac:dyDescent="0.25"/>
    <row r="245" ht="35.1" customHeight="1" x14ac:dyDescent="0.25"/>
    <row r="246" ht="35.1" customHeight="1" x14ac:dyDescent="0.25"/>
    <row r="247" ht="35.1" customHeight="1" x14ac:dyDescent="0.25"/>
    <row r="248" ht="35.1" customHeight="1" x14ac:dyDescent="0.25"/>
    <row r="249" ht="35.1" customHeight="1" x14ac:dyDescent="0.25"/>
    <row r="250" ht="35.1" customHeight="1" x14ac:dyDescent="0.25"/>
    <row r="251" ht="35.1" customHeight="1" x14ac:dyDescent="0.25"/>
    <row r="252" ht="35.1" customHeight="1" x14ac:dyDescent="0.25"/>
    <row r="253" ht="35.1" customHeight="1" x14ac:dyDescent="0.25"/>
    <row r="254" ht="35.1" customHeight="1" x14ac:dyDescent="0.25"/>
    <row r="255" ht="35.1" customHeight="1" x14ac:dyDescent="0.25"/>
    <row r="256" ht="35.1" customHeight="1" x14ac:dyDescent="0.25"/>
    <row r="257" ht="35.1" customHeight="1" x14ac:dyDescent="0.25"/>
    <row r="258" ht="35.1" customHeight="1" x14ac:dyDescent="0.25"/>
    <row r="259" ht="35.1" customHeight="1" x14ac:dyDescent="0.25"/>
    <row r="260" ht="35.1" customHeight="1" x14ac:dyDescent="0.25"/>
    <row r="261" ht="35.1" customHeight="1" x14ac:dyDescent="0.25"/>
    <row r="262" ht="35.1" customHeight="1" x14ac:dyDescent="0.25"/>
    <row r="263" ht="35.1" customHeight="1" x14ac:dyDescent="0.25"/>
    <row r="264" ht="35.1" customHeight="1" x14ac:dyDescent="0.25"/>
    <row r="265" ht="35.1" customHeight="1" x14ac:dyDescent="0.25"/>
    <row r="266" ht="35.1" customHeight="1" x14ac:dyDescent="0.25"/>
    <row r="267" ht="35.1" customHeight="1" x14ac:dyDescent="0.25"/>
    <row r="268" ht="35.1" customHeight="1" x14ac:dyDescent="0.25"/>
    <row r="269" ht="35.1" customHeight="1" x14ac:dyDescent="0.25"/>
    <row r="270" ht="35.1" customHeight="1" x14ac:dyDescent="0.25"/>
    <row r="271" ht="35.1" customHeight="1" x14ac:dyDescent="0.25"/>
    <row r="272" ht="35.1" customHeight="1" x14ac:dyDescent="0.25"/>
    <row r="273" ht="35.1" customHeight="1" x14ac:dyDescent="0.25"/>
    <row r="274" ht="35.1" customHeight="1" x14ac:dyDescent="0.25"/>
    <row r="275" ht="35.1" customHeight="1" x14ac:dyDescent="0.25"/>
    <row r="276" ht="35.1" customHeight="1" x14ac:dyDescent="0.25"/>
    <row r="277" ht="35.1" customHeight="1" x14ac:dyDescent="0.25"/>
    <row r="278" ht="35.1" customHeight="1" x14ac:dyDescent="0.25"/>
    <row r="279" ht="35.1" customHeight="1" x14ac:dyDescent="0.25"/>
    <row r="280" ht="35.1" customHeight="1" x14ac:dyDescent="0.25"/>
    <row r="281" ht="35.1" customHeight="1" x14ac:dyDescent="0.25"/>
    <row r="282" ht="35.1" customHeight="1" x14ac:dyDescent="0.25"/>
    <row r="283" ht="35.1" customHeight="1" x14ac:dyDescent="0.25"/>
    <row r="284" ht="35.1" customHeight="1" x14ac:dyDescent="0.25"/>
    <row r="285" ht="35.1" customHeight="1" x14ac:dyDescent="0.25"/>
    <row r="286" ht="35.1" customHeight="1" x14ac:dyDescent="0.25"/>
    <row r="287" ht="35.1" customHeight="1" x14ac:dyDescent="0.25"/>
    <row r="288" ht="35.1" customHeight="1" x14ac:dyDescent="0.25"/>
    <row r="289" ht="35.1" customHeight="1" x14ac:dyDescent="0.25"/>
    <row r="290" ht="35.1" customHeight="1" x14ac:dyDescent="0.25"/>
    <row r="291" ht="35.1" customHeight="1" x14ac:dyDescent="0.25"/>
    <row r="292" ht="35.1" customHeight="1" x14ac:dyDescent="0.25"/>
    <row r="293" ht="35.1" customHeight="1" x14ac:dyDescent="0.25"/>
    <row r="294" ht="35.1" customHeight="1" x14ac:dyDescent="0.25"/>
    <row r="295" ht="35.1" customHeight="1" x14ac:dyDescent="0.25"/>
    <row r="296" ht="35.1" customHeight="1" x14ac:dyDescent="0.25"/>
    <row r="297" ht="35.1" customHeight="1" x14ac:dyDescent="0.25"/>
    <row r="298" ht="35.1" customHeight="1" x14ac:dyDescent="0.25"/>
    <row r="299" ht="35.1" customHeight="1" x14ac:dyDescent="0.25"/>
    <row r="300" ht="35.1" customHeight="1" x14ac:dyDescent="0.25"/>
    <row r="301" ht="35.1" customHeight="1" x14ac:dyDescent="0.25"/>
    <row r="302" ht="35.1" customHeight="1" x14ac:dyDescent="0.25"/>
    <row r="303" ht="35.1" customHeight="1" x14ac:dyDescent="0.25"/>
    <row r="304" ht="35.1" customHeight="1" x14ac:dyDescent="0.25"/>
    <row r="305" ht="35.1" customHeight="1" x14ac:dyDescent="0.25"/>
    <row r="306" ht="35.1" customHeight="1" x14ac:dyDescent="0.25"/>
    <row r="307" ht="35.1" customHeight="1" x14ac:dyDescent="0.25"/>
    <row r="308" ht="35.1" customHeight="1" x14ac:dyDescent="0.25"/>
    <row r="309" ht="35.1" customHeight="1" x14ac:dyDescent="0.25"/>
    <row r="310" ht="35.1" customHeight="1" x14ac:dyDescent="0.25"/>
    <row r="311" ht="35.1" customHeight="1" x14ac:dyDescent="0.25"/>
    <row r="312" ht="35.1" customHeight="1" x14ac:dyDescent="0.25"/>
    <row r="313" ht="35.1" customHeight="1" x14ac:dyDescent="0.25"/>
    <row r="314" ht="35.1" customHeight="1" x14ac:dyDescent="0.25"/>
    <row r="315" ht="35.1" customHeight="1" x14ac:dyDescent="0.25"/>
    <row r="316" ht="35.1" customHeight="1" x14ac:dyDescent="0.25"/>
    <row r="317" ht="35.1" customHeight="1" x14ac:dyDescent="0.25"/>
    <row r="318" ht="35.1" customHeight="1" x14ac:dyDescent="0.25"/>
    <row r="319" ht="35.1" customHeight="1" x14ac:dyDescent="0.25"/>
    <row r="320" ht="35.1" customHeight="1" x14ac:dyDescent="0.25"/>
    <row r="321" ht="35.1" customHeight="1" x14ac:dyDescent="0.25"/>
    <row r="322" ht="35.1" customHeight="1" x14ac:dyDescent="0.25"/>
    <row r="323" ht="35.1" customHeight="1" x14ac:dyDescent="0.25"/>
    <row r="324" ht="35.1" customHeight="1" x14ac:dyDescent="0.25"/>
    <row r="325" ht="35.1" customHeight="1" x14ac:dyDescent="0.25"/>
    <row r="326" ht="35.1" customHeight="1" x14ac:dyDescent="0.25"/>
    <row r="327" ht="35.1" customHeight="1" x14ac:dyDescent="0.25"/>
    <row r="328" ht="35.1" customHeight="1" x14ac:dyDescent="0.25"/>
    <row r="329" ht="35.1" customHeight="1" x14ac:dyDescent="0.25"/>
    <row r="330" ht="35.1" customHeight="1" x14ac:dyDescent="0.25"/>
    <row r="331" ht="35.1" customHeight="1" x14ac:dyDescent="0.25"/>
    <row r="332" ht="35.1" customHeight="1" x14ac:dyDescent="0.25"/>
    <row r="333" ht="35.1" customHeight="1" x14ac:dyDescent="0.25"/>
    <row r="334" ht="35.1" customHeight="1" x14ac:dyDescent="0.25"/>
    <row r="335" ht="35.1" customHeight="1" x14ac:dyDescent="0.25"/>
    <row r="336" ht="35.1" customHeight="1" x14ac:dyDescent="0.25"/>
    <row r="337" ht="35.1" customHeight="1" x14ac:dyDescent="0.25"/>
    <row r="338" ht="35.1" customHeight="1" x14ac:dyDescent="0.25"/>
    <row r="339" ht="35.1" customHeight="1" x14ac:dyDescent="0.25"/>
    <row r="340" ht="35.1" customHeight="1" x14ac:dyDescent="0.25"/>
    <row r="341" ht="35.1" customHeight="1" x14ac:dyDescent="0.25"/>
    <row r="342" ht="35.1" customHeight="1" x14ac:dyDescent="0.25"/>
    <row r="343" ht="35.1" customHeight="1" x14ac:dyDescent="0.25"/>
    <row r="344" ht="35.1" customHeight="1" x14ac:dyDescent="0.25"/>
    <row r="345" ht="35.1" customHeight="1" x14ac:dyDescent="0.25"/>
    <row r="346" ht="35.1" customHeight="1" x14ac:dyDescent="0.25"/>
    <row r="347" ht="35.1" customHeight="1" x14ac:dyDescent="0.25"/>
    <row r="348" ht="35.1" customHeight="1" x14ac:dyDescent="0.25"/>
    <row r="349" ht="35.1" customHeight="1" x14ac:dyDescent="0.25"/>
    <row r="350" ht="35.1" customHeight="1" x14ac:dyDescent="0.25"/>
    <row r="351" ht="35.1" customHeight="1" x14ac:dyDescent="0.25"/>
    <row r="352" ht="35.1" customHeight="1" x14ac:dyDescent="0.25"/>
    <row r="353" ht="35.1" customHeight="1" x14ac:dyDescent="0.25"/>
    <row r="354" ht="35.1" customHeight="1" x14ac:dyDescent="0.25"/>
    <row r="355" ht="35.1" customHeight="1" x14ac:dyDescent="0.25"/>
    <row r="356" ht="35.1" customHeight="1" x14ac:dyDescent="0.25"/>
    <row r="357" ht="35.1" customHeight="1" x14ac:dyDescent="0.25"/>
    <row r="358" ht="35.1" customHeight="1" x14ac:dyDescent="0.25"/>
    <row r="359" ht="35.1" customHeight="1" x14ac:dyDescent="0.25"/>
    <row r="360" ht="35.1" customHeight="1" x14ac:dyDescent="0.25"/>
    <row r="361" ht="35.1" customHeight="1" x14ac:dyDescent="0.25"/>
    <row r="362" ht="35.1" customHeight="1" x14ac:dyDescent="0.25"/>
    <row r="363" ht="35.1" customHeight="1" x14ac:dyDescent="0.25"/>
    <row r="364" ht="35.1" customHeight="1" x14ac:dyDescent="0.25"/>
    <row r="365" ht="35.1" customHeight="1" x14ac:dyDescent="0.25"/>
    <row r="366" ht="35.1" customHeight="1" x14ac:dyDescent="0.25"/>
    <row r="367" ht="35.1" customHeight="1" x14ac:dyDescent="0.25"/>
    <row r="368" ht="35.1" customHeight="1" x14ac:dyDescent="0.25"/>
    <row r="369" ht="35.1" customHeight="1" x14ac:dyDescent="0.25"/>
    <row r="370" ht="35.1" customHeight="1" x14ac:dyDescent="0.25"/>
    <row r="371" ht="35.1" customHeight="1" x14ac:dyDescent="0.25"/>
    <row r="372" ht="35.1" customHeight="1" x14ac:dyDescent="0.25"/>
    <row r="373" ht="35.1" customHeight="1" x14ac:dyDescent="0.25"/>
    <row r="374" ht="35.1" customHeight="1" x14ac:dyDescent="0.25"/>
    <row r="375" ht="35.1" customHeight="1" x14ac:dyDescent="0.25"/>
    <row r="376" ht="35.1" customHeight="1" x14ac:dyDescent="0.25"/>
    <row r="377" ht="35.1" customHeight="1" x14ac:dyDescent="0.25"/>
    <row r="378" ht="35.1" customHeight="1" x14ac:dyDescent="0.25"/>
    <row r="379" ht="35.1" customHeight="1" x14ac:dyDescent="0.25"/>
    <row r="380" ht="35.1" customHeight="1" x14ac:dyDescent="0.25"/>
    <row r="381" ht="35.1" customHeight="1" x14ac:dyDescent="0.25"/>
    <row r="382" ht="35.1" customHeight="1" x14ac:dyDescent="0.25"/>
    <row r="383" ht="35.1" customHeight="1" x14ac:dyDescent="0.25"/>
    <row r="384" ht="35.1" customHeight="1" x14ac:dyDescent="0.25"/>
    <row r="385" ht="35.1" customHeight="1" x14ac:dyDescent="0.25"/>
    <row r="386" ht="35.1" customHeight="1" x14ac:dyDescent="0.25"/>
    <row r="387" ht="35.1" customHeight="1" x14ac:dyDescent="0.25"/>
    <row r="388" ht="35.1" customHeight="1" x14ac:dyDescent="0.25"/>
    <row r="389" ht="35.1" customHeight="1" x14ac:dyDescent="0.25"/>
    <row r="390" ht="35.1" customHeight="1" x14ac:dyDescent="0.25"/>
    <row r="391" ht="35.1" customHeight="1" x14ac:dyDescent="0.25"/>
    <row r="392" ht="35.1" customHeight="1" x14ac:dyDescent="0.25"/>
    <row r="393" ht="35.1" customHeight="1" x14ac:dyDescent="0.25"/>
    <row r="394" ht="35.1" customHeight="1" x14ac:dyDescent="0.25"/>
    <row r="395" ht="35.1" customHeight="1" x14ac:dyDescent="0.25"/>
    <row r="396" ht="35.1" customHeight="1" x14ac:dyDescent="0.25"/>
    <row r="397" ht="35.1" customHeight="1" x14ac:dyDescent="0.25"/>
    <row r="398" ht="35.1" customHeight="1" x14ac:dyDescent="0.25"/>
    <row r="399" ht="35.1" customHeight="1" x14ac:dyDescent="0.25"/>
    <row r="400" ht="35.1" customHeight="1" x14ac:dyDescent="0.25"/>
    <row r="401" ht="35.1" customHeight="1" x14ac:dyDescent="0.25"/>
    <row r="402" ht="35.1" customHeight="1" x14ac:dyDescent="0.25"/>
    <row r="403" ht="35.1" customHeight="1" x14ac:dyDescent="0.25"/>
    <row r="404" ht="35.1" customHeight="1" x14ac:dyDescent="0.25"/>
    <row r="405" ht="35.1" customHeight="1" x14ac:dyDescent="0.25"/>
    <row r="406" ht="35.1" customHeight="1" x14ac:dyDescent="0.25"/>
    <row r="407" ht="35.1" customHeight="1" x14ac:dyDescent="0.25"/>
    <row r="408" ht="35.1" customHeight="1" x14ac:dyDescent="0.25"/>
    <row r="409" ht="35.1" customHeight="1" x14ac:dyDescent="0.25"/>
    <row r="410" ht="35.1" customHeight="1" x14ac:dyDescent="0.25"/>
    <row r="411" ht="35.1" customHeight="1" x14ac:dyDescent="0.25"/>
    <row r="412" ht="35.1" customHeight="1" x14ac:dyDescent="0.25"/>
    <row r="413" ht="35.1" customHeight="1" x14ac:dyDescent="0.25"/>
    <row r="414" ht="35.1" customHeight="1" x14ac:dyDescent="0.25"/>
    <row r="415" ht="35.1" customHeight="1" x14ac:dyDescent="0.25"/>
    <row r="416" ht="35.1" customHeight="1" x14ac:dyDescent="0.25"/>
    <row r="417" ht="35.1" customHeight="1" x14ac:dyDescent="0.25"/>
    <row r="418" ht="35.1" customHeight="1" x14ac:dyDescent="0.25"/>
    <row r="419" ht="35.1" customHeight="1" x14ac:dyDescent="0.25"/>
    <row r="420" ht="35.1" customHeight="1" x14ac:dyDescent="0.25"/>
    <row r="421" ht="35.1" customHeight="1" x14ac:dyDescent="0.25"/>
    <row r="422" ht="35.1" customHeight="1" x14ac:dyDescent="0.25"/>
    <row r="423" ht="35.1" customHeight="1" x14ac:dyDescent="0.25"/>
    <row r="424" ht="35.1" customHeight="1" x14ac:dyDescent="0.25"/>
    <row r="425" ht="35.1" customHeight="1" x14ac:dyDescent="0.25"/>
    <row r="426" ht="35.1" customHeight="1" x14ac:dyDescent="0.25"/>
    <row r="427" ht="35.1" customHeight="1" x14ac:dyDescent="0.25"/>
    <row r="428" ht="35.1" customHeight="1" x14ac:dyDescent="0.25"/>
    <row r="429" ht="35.1" customHeight="1" x14ac:dyDescent="0.25"/>
    <row r="430" ht="35.1" customHeight="1" x14ac:dyDescent="0.25"/>
    <row r="431" ht="35.1" customHeight="1" x14ac:dyDescent="0.25"/>
    <row r="432" ht="35.1" customHeight="1" x14ac:dyDescent="0.25"/>
    <row r="433" ht="35.1" customHeight="1" x14ac:dyDescent="0.25"/>
    <row r="434" ht="35.1" customHeight="1" x14ac:dyDescent="0.25"/>
    <row r="435" ht="35.1" customHeight="1" x14ac:dyDescent="0.25"/>
    <row r="436" ht="35.1" customHeight="1" x14ac:dyDescent="0.25"/>
    <row r="437" ht="35.1" customHeight="1" x14ac:dyDescent="0.25"/>
    <row r="438" ht="35.1" customHeight="1" x14ac:dyDescent="0.25"/>
    <row r="439" ht="35.1" customHeight="1" x14ac:dyDescent="0.25"/>
    <row r="440" ht="35.1" customHeight="1" x14ac:dyDescent="0.25"/>
    <row r="441" ht="35.1" customHeight="1" x14ac:dyDescent="0.25"/>
    <row r="442" ht="35.1" customHeight="1" x14ac:dyDescent="0.25"/>
    <row r="443" ht="35.1" customHeight="1" x14ac:dyDescent="0.25"/>
    <row r="444" ht="35.1" customHeight="1" x14ac:dyDescent="0.25"/>
    <row r="445" ht="35.1" customHeight="1" x14ac:dyDescent="0.25"/>
    <row r="446" ht="35.1" customHeight="1" x14ac:dyDescent="0.25"/>
    <row r="447" ht="35.1" customHeight="1" x14ac:dyDescent="0.25"/>
    <row r="448" ht="35.1" customHeight="1" x14ac:dyDescent="0.25"/>
    <row r="449" ht="35.1" customHeight="1" x14ac:dyDescent="0.25"/>
    <row r="450" ht="35.1" customHeight="1" x14ac:dyDescent="0.25"/>
    <row r="451" ht="35.1" customHeight="1" x14ac:dyDescent="0.25"/>
    <row r="452" ht="35.1" customHeight="1" x14ac:dyDescent="0.25"/>
    <row r="453" ht="35.1" customHeight="1" x14ac:dyDescent="0.25"/>
    <row r="454" ht="35.1" customHeight="1" x14ac:dyDescent="0.25"/>
    <row r="455" ht="35.1" customHeight="1" x14ac:dyDescent="0.25"/>
    <row r="456" ht="35.1" customHeight="1" x14ac:dyDescent="0.25"/>
    <row r="457" ht="35.1" customHeight="1" x14ac:dyDescent="0.25"/>
    <row r="458" ht="35.1" customHeight="1" x14ac:dyDescent="0.25"/>
    <row r="459" ht="35.1" customHeight="1" x14ac:dyDescent="0.25"/>
    <row r="460" ht="35.1" customHeight="1" x14ac:dyDescent="0.25"/>
    <row r="461" ht="35.1" customHeight="1" x14ac:dyDescent="0.25"/>
    <row r="462" ht="35.1" customHeight="1" x14ac:dyDescent="0.25"/>
    <row r="463" ht="35.1" customHeight="1" x14ac:dyDescent="0.25"/>
    <row r="464" ht="35.1" customHeight="1" x14ac:dyDescent="0.25"/>
    <row r="465" ht="35.1" customHeight="1" x14ac:dyDescent="0.25"/>
    <row r="466" ht="35.1" customHeight="1" x14ac:dyDescent="0.25"/>
    <row r="467" ht="35.1" customHeight="1" x14ac:dyDescent="0.25"/>
    <row r="468" ht="35.1" customHeight="1" x14ac:dyDescent="0.25"/>
    <row r="469" ht="35.1" customHeight="1" x14ac:dyDescent="0.25"/>
    <row r="470" ht="35.1" customHeight="1" x14ac:dyDescent="0.25"/>
    <row r="471" ht="35.1" customHeight="1" x14ac:dyDescent="0.25"/>
    <row r="472" ht="35.1" customHeight="1" x14ac:dyDescent="0.25"/>
    <row r="473" ht="35.1" customHeight="1" x14ac:dyDescent="0.25"/>
    <row r="474" ht="35.1" customHeight="1" x14ac:dyDescent="0.25"/>
    <row r="475" ht="35.1" customHeight="1" x14ac:dyDescent="0.25"/>
    <row r="476" ht="35.1" customHeight="1" x14ac:dyDescent="0.25"/>
    <row r="477" ht="35.1" customHeight="1" x14ac:dyDescent="0.25"/>
    <row r="478" ht="35.1" customHeight="1" x14ac:dyDescent="0.25"/>
    <row r="479" ht="35.1" customHeight="1" x14ac:dyDescent="0.25"/>
    <row r="480" ht="35.1" customHeight="1" x14ac:dyDescent="0.25"/>
    <row r="481" ht="35.1" customHeight="1" x14ac:dyDescent="0.25"/>
    <row r="482" ht="35.1" customHeight="1" x14ac:dyDescent="0.25"/>
    <row r="483" ht="35.1" customHeight="1" x14ac:dyDescent="0.25"/>
    <row r="484" ht="35.1" customHeight="1" x14ac:dyDescent="0.25"/>
    <row r="485" ht="35.1" customHeight="1" x14ac:dyDescent="0.25"/>
    <row r="486" ht="35.1" customHeight="1" x14ac:dyDescent="0.25"/>
    <row r="487" ht="35.1" customHeight="1" x14ac:dyDescent="0.25"/>
    <row r="488" ht="35.1" customHeight="1" x14ac:dyDescent="0.25"/>
    <row r="489" ht="35.1" customHeight="1" x14ac:dyDescent="0.25"/>
    <row r="490" ht="35.1" customHeight="1" x14ac:dyDescent="0.25"/>
    <row r="491" ht="35.1" customHeight="1" x14ac:dyDescent="0.25"/>
    <row r="492" ht="35.1" customHeight="1" x14ac:dyDescent="0.25"/>
    <row r="493" ht="35.1" customHeight="1" x14ac:dyDescent="0.25"/>
    <row r="494" ht="35.1" customHeight="1" x14ac:dyDescent="0.25"/>
    <row r="495" ht="35.1" customHeight="1" x14ac:dyDescent="0.25"/>
    <row r="496" ht="35.1" customHeight="1" x14ac:dyDescent="0.25"/>
    <row r="497" ht="35.1" customHeight="1" x14ac:dyDescent="0.25"/>
    <row r="498" ht="35.1" customHeight="1" x14ac:dyDescent="0.25"/>
    <row r="499" ht="35.1" customHeight="1" x14ac:dyDescent="0.25"/>
    <row r="500" ht="35.1" customHeight="1" x14ac:dyDescent="0.25"/>
    <row r="501" ht="35.1" customHeight="1" x14ac:dyDescent="0.25"/>
    <row r="502" ht="35.1" customHeight="1" x14ac:dyDescent="0.25"/>
    <row r="503" ht="35.1" customHeight="1" x14ac:dyDescent="0.25"/>
    <row r="504" ht="35.1" customHeight="1" x14ac:dyDescent="0.25"/>
    <row r="505" ht="35.1" customHeight="1" x14ac:dyDescent="0.25"/>
    <row r="506" ht="35.1" customHeight="1" x14ac:dyDescent="0.25"/>
    <row r="507" ht="35.1" customHeight="1" x14ac:dyDescent="0.25"/>
    <row r="508" ht="35.1" customHeight="1" x14ac:dyDescent="0.25"/>
    <row r="509" ht="35.1" customHeight="1" x14ac:dyDescent="0.25"/>
    <row r="510" ht="35.1" customHeight="1" x14ac:dyDescent="0.25"/>
    <row r="511" ht="35.1" customHeight="1" x14ac:dyDescent="0.25"/>
    <row r="512" ht="35.1" customHeight="1" x14ac:dyDescent="0.25"/>
    <row r="513" ht="35.1" customHeight="1" x14ac:dyDescent="0.25"/>
    <row r="514" ht="35.1" customHeight="1" x14ac:dyDescent="0.25"/>
    <row r="515" ht="35.1" customHeight="1" x14ac:dyDescent="0.25"/>
    <row r="516" ht="35.1" customHeight="1" x14ac:dyDescent="0.25"/>
    <row r="517" ht="35.1" customHeight="1" x14ac:dyDescent="0.25"/>
    <row r="518" ht="35.1" customHeight="1" x14ac:dyDescent="0.25"/>
    <row r="519" ht="35.1" customHeight="1" x14ac:dyDescent="0.25"/>
    <row r="520" ht="35.1" customHeight="1" x14ac:dyDescent="0.25"/>
    <row r="521" ht="35.1" customHeight="1" x14ac:dyDescent="0.25"/>
    <row r="522" ht="35.1" customHeight="1" x14ac:dyDescent="0.25"/>
    <row r="523" ht="35.1" customHeight="1" x14ac:dyDescent="0.25"/>
    <row r="524" ht="35.1" customHeight="1" x14ac:dyDescent="0.25"/>
    <row r="525" ht="35.1" customHeight="1" x14ac:dyDescent="0.25"/>
    <row r="526" ht="35.1" customHeight="1" x14ac:dyDescent="0.25"/>
    <row r="527" ht="35.1" customHeight="1" x14ac:dyDescent="0.25"/>
    <row r="528" ht="35.1" customHeight="1" x14ac:dyDescent="0.25"/>
    <row r="529" ht="35.1" customHeight="1" x14ac:dyDescent="0.25"/>
    <row r="530" ht="35.1" customHeight="1" x14ac:dyDescent="0.25"/>
    <row r="531" ht="35.1" customHeight="1" x14ac:dyDescent="0.25"/>
    <row r="532" ht="35.1" customHeight="1" x14ac:dyDescent="0.25"/>
    <row r="533" ht="35.1" customHeight="1" x14ac:dyDescent="0.25"/>
    <row r="534" ht="35.1" customHeight="1" x14ac:dyDescent="0.25"/>
    <row r="535" ht="35.1" customHeight="1" x14ac:dyDescent="0.25"/>
    <row r="536" ht="35.1" customHeight="1" x14ac:dyDescent="0.25"/>
    <row r="537" ht="35.1" customHeight="1" x14ac:dyDescent="0.25"/>
    <row r="538" ht="35.1" customHeight="1" x14ac:dyDescent="0.25"/>
    <row r="539" ht="35.1" customHeight="1" x14ac:dyDescent="0.25"/>
    <row r="540" ht="35.1" customHeight="1" x14ac:dyDescent="0.25"/>
    <row r="541" ht="35.1" customHeight="1" x14ac:dyDescent="0.25"/>
    <row r="542" ht="35.1" customHeight="1" x14ac:dyDescent="0.25"/>
    <row r="543" ht="35.1" customHeight="1" x14ac:dyDescent="0.25"/>
    <row r="544" ht="35.1" customHeight="1" x14ac:dyDescent="0.25"/>
    <row r="545" ht="35.1" customHeight="1" x14ac:dyDescent="0.25"/>
    <row r="546" ht="35.1" customHeight="1" x14ac:dyDescent="0.25"/>
    <row r="547" ht="35.1" customHeight="1" x14ac:dyDescent="0.25"/>
    <row r="548" ht="35.1" customHeight="1" x14ac:dyDescent="0.25"/>
    <row r="549" ht="35.1" customHeight="1" x14ac:dyDescent="0.25"/>
    <row r="550" ht="35.1" customHeight="1" x14ac:dyDescent="0.25"/>
    <row r="551" ht="35.1" customHeight="1" x14ac:dyDescent="0.25"/>
    <row r="552" ht="35.1" customHeight="1" x14ac:dyDescent="0.25"/>
    <row r="553" ht="35.1" customHeight="1" x14ac:dyDescent="0.25"/>
    <row r="554" ht="35.1" customHeight="1" x14ac:dyDescent="0.25"/>
    <row r="555" ht="35.1" customHeight="1" x14ac:dyDescent="0.25"/>
    <row r="556" ht="35.1" customHeight="1" x14ac:dyDescent="0.25"/>
    <row r="557" ht="35.1" customHeight="1" x14ac:dyDescent="0.25"/>
    <row r="558" ht="35.1" customHeight="1" x14ac:dyDescent="0.25"/>
    <row r="559" ht="35.1" customHeight="1" x14ac:dyDescent="0.25"/>
    <row r="560" ht="35.1" customHeight="1" x14ac:dyDescent="0.25"/>
    <row r="561" ht="35.1" customHeight="1" x14ac:dyDescent="0.25"/>
    <row r="562" ht="35.1" customHeight="1" x14ac:dyDescent="0.25"/>
    <row r="563" ht="35.1" customHeight="1" x14ac:dyDescent="0.25"/>
    <row r="564" ht="35.1" customHeight="1" x14ac:dyDescent="0.25"/>
    <row r="565" ht="35.1" customHeight="1" x14ac:dyDescent="0.25"/>
    <row r="566" ht="35.1" customHeight="1" x14ac:dyDescent="0.25"/>
    <row r="567" ht="35.1" customHeight="1" x14ac:dyDescent="0.25"/>
    <row r="568" ht="35.1" customHeight="1" x14ac:dyDescent="0.25"/>
    <row r="569" ht="35.1" customHeight="1" x14ac:dyDescent="0.25"/>
    <row r="570" ht="35.1" customHeight="1" x14ac:dyDescent="0.25"/>
    <row r="571" ht="35.1" customHeight="1" x14ac:dyDescent="0.25"/>
    <row r="572" ht="35.1" customHeight="1" x14ac:dyDescent="0.25"/>
    <row r="573" ht="35.1" customHeight="1" x14ac:dyDescent="0.25"/>
    <row r="574" ht="35.1" customHeight="1" x14ac:dyDescent="0.25"/>
    <row r="575" ht="35.1" customHeight="1" x14ac:dyDescent="0.25"/>
    <row r="576" ht="35.1" customHeight="1" x14ac:dyDescent="0.25"/>
    <row r="577" ht="35.1" customHeight="1" x14ac:dyDescent="0.25"/>
    <row r="578" ht="35.1" customHeight="1" x14ac:dyDescent="0.25"/>
    <row r="579" ht="35.1" customHeight="1" x14ac:dyDescent="0.25"/>
    <row r="580" ht="35.1" customHeight="1" x14ac:dyDescent="0.25"/>
    <row r="581" ht="35.1" customHeight="1" x14ac:dyDescent="0.25"/>
    <row r="582" ht="35.1" customHeight="1" x14ac:dyDescent="0.25"/>
    <row r="583" ht="35.1" customHeight="1" x14ac:dyDescent="0.25"/>
    <row r="584" ht="35.1" customHeight="1" x14ac:dyDescent="0.25"/>
    <row r="585" ht="35.1" customHeight="1" x14ac:dyDescent="0.25"/>
    <row r="586" ht="35.1" customHeight="1" x14ac:dyDescent="0.25"/>
    <row r="587" ht="35.1" customHeight="1" x14ac:dyDescent="0.25"/>
    <row r="588" ht="35.1" customHeight="1" x14ac:dyDescent="0.25"/>
    <row r="589" ht="35.1" customHeight="1" x14ac:dyDescent="0.25"/>
    <row r="590" ht="35.1" customHeight="1" x14ac:dyDescent="0.25"/>
    <row r="591" ht="35.1" customHeight="1" x14ac:dyDescent="0.25"/>
    <row r="592" ht="35.1" customHeight="1" x14ac:dyDescent="0.25"/>
    <row r="593" ht="35.1" customHeight="1" x14ac:dyDescent="0.25"/>
    <row r="594" ht="35.1" customHeight="1" x14ac:dyDescent="0.25"/>
    <row r="595" ht="35.1" customHeight="1" x14ac:dyDescent="0.25"/>
    <row r="596" ht="35.1" customHeight="1" x14ac:dyDescent="0.25"/>
    <row r="597" ht="35.1" customHeight="1" x14ac:dyDescent="0.25"/>
    <row r="598" ht="35.1" customHeight="1" x14ac:dyDescent="0.25"/>
    <row r="599" ht="35.1" customHeight="1" x14ac:dyDescent="0.25"/>
    <row r="600" ht="35.1" customHeight="1" x14ac:dyDescent="0.25"/>
    <row r="601" ht="35.1" customHeight="1" x14ac:dyDescent="0.25"/>
    <row r="602" ht="35.1" customHeight="1" x14ac:dyDescent="0.25"/>
    <row r="603" ht="35.1" customHeight="1" x14ac:dyDescent="0.25"/>
    <row r="604" ht="35.1" customHeight="1" x14ac:dyDescent="0.25"/>
    <row r="605" ht="35.1" customHeight="1" x14ac:dyDescent="0.25"/>
    <row r="606" ht="35.1" customHeight="1" x14ac:dyDescent="0.25"/>
    <row r="607" ht="35.1" customHeight="1" x14ac:dyDescent="0.25"/>
    <row r="608" ht="35.1" customHeight="1" x14ac:dyDescent="0.25"/>
    <row r="609" ht="35.1" customHeight="1" x14ac:dyDescent="0.25"/>
    <row r="610" ht="35.1" customHeight="1" x14ac:dyDescent="0.25"/>
    <row r="611" ht="35.1" customHeight="1" x14ac:dyDescent="0.25"/>
    <row r="612" ht="35.1" customHeight="1" x14ac:dyDescent="0.25"/>
    <row r="613" ht="35.1" customHeight="1" x14ac:dyDescent="0.25"/>
    <row r="614" ht="35.1" customHeight="1" x14ac:dyDescent="0.25"/>
    <row r="615" ht="35.1" customHeight="1" x14ac:dyDescent="0.25"/>
    <row r="616" ht="35.1" customHeight="1" x14ac:dyDescent="0.25"/>
    <row r="617" ht="35.1" customHeight="1" x14ac:dyDescent="0.25"/>
    <row r="618" ht="35.1" customHeight="1" x14ac:dyDescent="0.25"/>
    <row r="619" ht="35.1" customHeight="1" x14ac:dyDescent="0.25"/>
    <row r="620" ht="35.1" customHeight="1" x14ac:dyDescent="0.25"/>
    <row r="621" ht="35.1" customHeight="1" x14ac:dyDescent="0.25"/>
    <row r="622" ht="35.1" customHeight="1" x14ac:dyDescent="0.25"/>
    <row r="623" ht="35.1" customHeight="1" x14ac:dyDescent="0.25"/>
    <row r="624" ht="35.1" customHeight="1" x14ac:dyDescent="0.25"/>
    <row r="625" ht="35.1" customHeight="1" x14ac:dyDescent="0.25"/>
    <row r="626" ht="35.1" customHeight="1" x14ac:dyDescent="0.25"/>
    <row r="627" ht="35.1" customHeight="1" x14ac:dyDescent="0.25"/>
    <row r="628" ht="35.1" customHeight="1" x14ac:dyDescent="0.25"/>
    <row r="629" ht="35.1" customHeight="1" x14ac:dyDescent="0.25"/>
    <row r="630" ht="35.1" customHeight="1" x14ac:dyDescent="0.25"/>
    <row r="631" ht="35.1" customHeight="1" x14ac:dyDescent="0.25"/>
    <row r="632" ht="35.1" customHeight="1" x14ac:dyDescent="0.25"/>
    <row r="633" ht="35.1" customHeight="1" x14ac:dyDescent="0.25"/>
    <row r="634" ht="35.1" customHeight="1" x14ac:dyDescent="0.25"/>
    <row r="635" ht="35.1" customHeight="1" x14ac:dyDescent="0.25"/>
    <row r="636" ht="35.1" customHeight="1" x14ac:dyDescent="0.25"/>
    <row r="637" ht="35.1" customHeight="1" x14ac:dyDescent="0.25"/>
    <row r="638" ht="35.1" customHeight="1" x14ac:dyDescent="0.25"/>
  </sheetData>
  <sheetProtection sort="0" autoFilter="0"/>
  <dataConsolidate/>
  <mergeCells count="16">
    <mergeCell ref="AQ1:AU1"/>
    <mergeCell ref="A1:A2"/>
    <mergeCell ref="I1:J1"/>
    <mergeCell ref="D1:D2"/>
    <mergeCell ref="E1:E2"/>
    <mergeCell ref="B1:C1"/>
    <mergeCell ref="AI1:AJ1"/>
    <mergeCell ref="AK1:AP1"/>
    <mergeCell ref="R1:T1"/>
    <mergeCell ref="Q1:Q2"/>
    <mergeCell ref="AG1:AH1"/>
    <mergeCell ref="Y1:AF1"/>
    <mergeCell ref="Y2:Z2"/>
    <mergeCell ref="U1:X1"/>
    <mergeCell ref="F1:H1"/>
    <mergeCell ref="L1:P1"/>
  </mergeCells>
  <phoneticPr fontId="21" type="noConversion"/>
  <conditionalFormatting sqref="R3:Z3 AB3:AC3 AE3:AJ3 AS3">
    <cfRule type="containsText" dxfId="7" priority="2" stopIfTrue="1" operator="containsText" text="FROM">
      <formula>NOT(ISERROR(SEARCH("FROM",R3)))</formula>
    </cfRule>
  </conditionalFormatting>
  <conditionalFormatting sqref="AL3:AO3">
    <cfRule type="containsText" dxfId="6" priority="44" stopIfTrue="1" operator="containsText" text="FROM">
      <formula>NOT(ISERROR(SEARCH("FROM",AL3)))</formula>
    </cfRule>
  </conditionalFormatting>
  <conditionalFormatting sqref="AP3">
    <cfRule type="cellIs" dxfId="5" priority="1" stopIfTrue="1" operator="equal">
      <formula>"X"</formula>
    </cfRule>
  </conditionalFormatting>
  <conditionalFormatting sqref="AU3">
    <cfRule type="cellIs" dxfId="4" priority="3" stopIfTrue="1" operator="equal">
      <formula>"X"</formula>
    </cfRule>
  </conditionalFormatting>
  <pageMargins left="0.78740157480314965" right="0.78740157480314965" top="0.98425196850393704" bottom="0.98425196850393704" header="0.51181102362204722" footer="0.51181102362204722"/>
  <pageSetup paperSize="9" scale="46" orientation="landscape" r:id="rId1"/>
  <headerFooter alignWithMargins="0"/>
  <colBreaks count="1" manualBreakCount="1">
    <brk id="47" max="1048575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CABLES1!$A$23:$E$23</xm:f>
          </x14:formula1>
          <xm:sqref>Q3</xm:sqref>
        </x14:dataValidation>
        <x14:dataValidation type="list" allowBlank="1" showInputMessage="1" showErrorMessage="1" xr:uid="{00000000-0002-0000-0000-000002000000}">
          <x14:formula1>
            <xm:f>CABLES1!$A$24:$H$24</xm:f>
          </x14:formula1>
          <xm:sqref>D3</xm:sqref>
        </x14:dataValidation>
        <x14:dataValidation type="list" allowBlank="1" showInputMessage="1" showErrorMessage="1" xr:uid="{00000000-0002-0000-0000-000003000000}">
          <x14:formula1>
            <xm:f>MOTOR!$A$5:$A$38</xm:f>
          </x14:formula1>
          <xm:sqref>F3</xm:sqref>
        </x14:dataValidation>
        <x14:dataValidation type="list" allowBlank="1" showInputMessage="1" showErrorMessage="1" xr:uid="{05A78927-B8B7-4F00-B519-8E2FB3F55BBC}">
          <x14:formula1>
            <xm:f>CABLES1!$A$25:$B$25</xm:f>
          </x14:formula1>
          <xm:sqref>AD3</xm:sqref>
        </x14:dataValidation>
        <x14:dataValidation type="list" allowBlank="1" showInputMessage="1" showErrorMessage="1" xr:uid="{78B86D93-BE57-4765-816E-3F72A2FB46C0}">
          <x14:formula1>
            <xm:f>'Fatores de correção'!$A$6:$A$19</xm:f>
          </x14:formula1>
          <xm:sqref>L3</xm:sqref>
        </x14:dataValidation>
        <x14:dataValidation type="list" allowBlank="1" showInputMessage="1" showErrorMessage="1" xr:uid="{00000000-0002-0000-0000-000001000000}">
          <x14:formula1>
            <xm:f>CABLES1!A22:I22</xm:f>
          </x14:formula1>
          <xm:sqref>AA3</xm:sqref>
        </x14:dataValidation>
        <x14:dataValidation type="list" allowBlank="1" showInputMessage="1" showErrorMessage="1" xr:uid="{ADDF9B57-C714-40AC-997F-B7AFB960FA8F}">
          <x14:formula1>
            <xm:f>'Fatores de correção'!$B$23:$M$23</xm:f>
          </x14:formula1>
          <xm:sqref>M3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B87F-33C7-41B7-84CA-666323DE06CA}">
  <dimension ref="A1:N121"/>
  <sheetViews>
    <sheetView workbookViewId="0">
      <pane ySplit="2" topLeftCell="A30" activePane="bottomLeft" state="frozen"/>
      <selection pane="bottomLeft" activeCell="D60" sqref="D60"/>
    </sheetView>
  </sheetViews>
  <sheetFormatPr defaultRowHeight="13.2" x14ac:dyDescent="0.25"/>
  <cols>
    <col min="1" max="1" width="10.33203125" style="112" customWidth="1"/>
    <col min="2" max="2" width="8.77734375" style="112" customWidth="1"/>
    <col min="3" max="6" width="11.77734375" style="112" customWidth="1"/>
    <col min="7" max="7" width="8.77734375" style="112" customWidth="1"/>
    <col min="8" max="9" width="13.77734375" style="112" customWidth="1"/>
    <col min="10" max="11" width="8.77734375" style="112" customWidth="1"/>
    <col min="12" max="12" width="2.77734375" style="112" customWidth="1"/>
    <col min="13" max="15" width="13.77734375" style="112" customWidth="1"/>
    <col min="16" max="16384" width="8.88671875" style="112"/>
  </cols>
  <sheetData>
    <row r="1" spans="1:14" ht="25.2" customHeight="1" x14ac:dyDescent="0.25">
      <c r="A1" s="206" t="s">
        <v>346</v>
      </c>
      <c r="B1" s="206" t="s">
        <v>345</v>
      </c>
      <c r="C1" s="206" t="s">
        <v>349</v>
      </c>
      <c r="D1" s="206"/>
      <c r="E1" s="206" t="s">
        <v>350</v>
      </c>
      <c r="F1" s="206"/>
      <c r="G1" s="165"/>
      <c r="H1" s="183" t="s">
        <v>243</v>
      </c>
      <c r="I1" s="184"/>
      <c r="J1" s="185"/>
      <c r="K1" s="185"/>
      <c r="L1" s="185"/>
      <c r="M1" s="183" t="s">
        <v>255</v>
      </c>
    </row>
    <row r="2" spans="1:14" ht="66" x14ac:dyDescent="0.25">
      <c r="A2" s="206"/>
      <c r="B2" s="206"/>
      <c r="C2" s="168" t="s">
        <v>347</v>
      </c>
      <c r="D2" s="168" t="s">
        <v>348</v>
      </c>
      <c r="E2" s="168" t="s">
        <v>347</v>
      </c>
      <c r="F2" s="168" t="s">
        <v>348</v>
      </c>
      <c r="H2" s="168" t="s">
        <v>244</v>
      </c>
      <c r="I2" s="161" t="s">
        <v>245</v>
      </c>
      <c r="J2" s="170"/>
      <c r="M2" s="161" t="s">
        <v>248</v>
      </c>
      <c r="N2" s="161" t="s">
        <v>249</v>
      </c>
    </row>
    <row r="3" spans="1:14" x14ac:dyDescent="0.25">
      <c r="A3" s="171" t="s">
        <v>68</v>
      </c>
      <c r="B3" s="169">
        <v>2.5</v>
      </c>
      <c r="C3" s="169">
        <v>30</v>
      </c>
      <c r="D3" s="169">
        <v>26</v>
      </c>
      <c r="E3" s="169">
        <v>23</v>
      </c>
      <c r="F3" s="169">
        <v>20</v>
      </c>
      <c r="H3" s="163" t="s">
        <v>246</v>
      </c>
      <c r="I3" s="163" t="s">
        <v>247</v>
      </c>
      <c r="M3" s="163" t="s">
        <v>250</v>
      </c>
      <c r="N3" s="163" t="s">
        <v>247</v>
      </c>
    </row>
    <row r="4" spans="1:14" x14ac:dyDescent="0.25">
      <c r="A4" s="171" t="s">
        <v>68</v>
      </c>
      <c r="B4" s="169">
        <v>4</v>
      </c>
      <c r="C4" s="169">
        <v>35</v>
      </c>
      <c r="D4" s="169">
        <v>45</v>
      </c>
      <c r="E4" s="169">
        <v>30</v>
      </c>
      <c r="F4" s="169">
        <v>27</v>
      </c>
      <c r="H4" s="163">
        <v>35</v>
      </c>
      <c r="I4" s="163">
        <v>25</v>
      </c>
      <c r="J4" s="162"/>
      <c r="K4" s="162"/>
      <c r="M4" s="163" t="s">
        <v>251</v>
      </c>
      <c r="N4" s="163" t="s">
        <v>252</v>
      </c>
    </row>
    <row r="5" spans="1:14" x14ac:dyDescent="0.25">
      <c r="A5" s="171" t="s">
        <v>68</v>
      </c>
      <c r="B5" s="169">
        <v>6</v>
      </c>
      <c r="C5" s="169">
        <v>44</v>
      </c>
      <c r="D5" s="169">
        <v>58</v>
      </c>
      <c r="E5" s="169">
        <v>38</v>
      </c>
      <c r="F5" s="169">
        <v>34</v>
      </c>
      <c r="H5" s="163">
        <v>50</v>
      </c>
      <c r="I5" s="163">
        <v>25</v>
      </c>
      <c r="J5" s="162"/>
      <c r="K5" s="162"/>
      <c r="M5" s="163" t="s">
        <v>253</v>
      </c>
      <c r="N5" s="163" t="s">
        <v>254</v>
      </c>
    </row>
    <row r="6" spans="1:14" x14ac:dyDescent="0.25">
      <c r="A6" s="171" t="s">
        <v>68</v>
      </c>
      <c r="B6" s="169">
        <v>10</v>
      </c>
      <c r="C6" s="169">
        <v>59</v>
      </c>
      <c r="D6" s="169">
        <v>60</v>
      </c>
      <c r="E6" s="169">
        <v>52</v>
      </c>
      <c r="F6" s="169">
        <v>46</v>
      </c>
      <c r="H6" s="163">
        <v>70</v>
      </c>
      <c r="I6" s="163">
        <v>35</v>
      </c>
      <c r="J6" s="162"/>
      <c r="K6" s="162"/>
    </row>
    <row r="7" spans="1:14" x14ac:dyDescent="0.25">
      <c r="A7" s="171" t="s">
        <v>68</v>
      </c>
      <c r="B7" s="169">
        <v>16</v>
      </c>
      <c r="C7" s="169">
        <v>91</v>
      </c>
      <c r="D7" s="169">
        <v>80</v>
      </c>
      <c r="E7" s="169">
        <v>69</v>
      </c>
      <c r="F7" s="169">
        <v>62</v>
      </c>
      <c r="H7" s="163">
        <v>95</v>
      </c>
      <c r="I7" s="163">
        <v>50</v>
      </c>
      <c r="J7" s="162"/>
      <c r="K7" s="162"/>
    </row>
    <row r="8" spans="1:14" x14ac:dyDescent="0.25">
      <c r="A8" s="171" t="s">
        <v>68</v>
      </c>
      <c r="B8" s="169">
        <v>25</v>
      </c>
      <c r="C8" s="169">
        <v>119</v>
      </c>
      <c r="D8" s="169">
        <v>105</v>
      </c>
      <c r="E8" s="169">
        <v>90</v>
      </c>
      <c r="F8" s="169">
        <v>80</v>
      </c>
      <c r="H8" s="163">
        <v>120</v>
      </c>
      <c r="I8" s="163">
        <v>70</v>
      </c>
      <c r="J8" s="162"/>
      <c r="K8" s="162"/>
    </row>
    <row r="9" spans="1:14" x14ac:dyDescent="0.25">
      <c r="A9" s="171" t="s">
        <v>68</v>
      </c>
      <c r="B9" s="169">
        <v>35</v>
      </c>
      <c r="C9" s="169">
        <v>146</v>
      </c>
      <c r="D9" s="169">
        <v>128</v>
      </c>
      <c r="E9" s="169">
        <v>111</v>
      </c>
      <c r="F9" s="169">
        <v>99</v>
      </c>
      <c r="H9" s="163">
        <v>150</v>
      </c>
      <c r="I9" s="163">
        <v>70</v>
      </c>
      <c r="J9" s="162"/>
      <c r="K9" s="162"/>
    </row>
    <row r="10" spans="1:14" x14ac:dyDescent="0.25">
      <c r="A10" s="171" t="s">
        <v>68</v>
      </c>
      <c r="B10" s="169">
        <v>50</v>
      </c>
      <c r="C10" s="169">
        <v>175</v>
      </c>
      <c r="D10" s="169">
        <v>154</v>
      </c>
      <c r="E10" s="169">
        <v>133</v>
      </c>
      <c r="F10" s="169">
        <v>118</v>
      </c>
      <c r="H10" s="163">
        <v>185</v>
      </c>
      <c r="I10" s="163">
        <v>95</v>
      </c>
      <c r="J10" s="162"/>
      <c r="K10" s="162"/>
    </row>
    <row r="11" spans="1:14" x14ac:dyDescent="0.25">
      <c r="A11" s="171" t="s">
        <v>68</v>
      </c>
      <c r="B11" s="169">
        <v>70</v>
      </c>
      <c r="C11" s="169">
        <v>221</v>
      </c>
      <c r="D11" s="169">
        <v>194</v>
      </c>
      <c r="E11" s="169">
        <v>168</v>
      </c>
      <c r="F11" s="169">
        <v>149</v>
      </c>
      <c r="H11" s="163">
        <v>240</v>
      </c>
      <c r="I11" s="163">
        <v>120</v>
      </c>
      <c r="J11" s="162"/>
      <c r="K11" s="162"/>
    </row>
    <row r="12" spans="1:14" x14ac:dyDescent="0.25">
      <c r="A12" s="171" t="s">
        <v>68</v>
      </c>
      <c r="B12" s="169">
        <v>95</v>
      </c>
      <c r="C12" s="169">
        <v>255</v>
      </c>
      <c r="D12" s="169">
        <v>233</v>
      </c>
      <c r="E12" s="169">
        <v>201</v>
      </c>
      <c r="F12" s="169">
        <v>179</v>
      </c>
      <c r="H12" s="163">
        <v>300</v>
      </c>
      <c r="I12" s="163">
        <v>150</v>
      </c>
      <c r="J12" s="162"/>
      <c r="K12" s="162"/>
    </row>
    <row r="13" spans="1:14" x14ac:dyDescent="0.25">
      <c r="A13" s="171" t="s">
        <v>68</v>
      </c>
      <c r="B13" s="169">
        <v>120</v>
      </c>
      <c r="C13" s="169">
        <v>305</v>
      </c>
      <c r="D13" s="169">
        <v>268</v>
      </c>
      <c r="E13" s="169">
        <v>232</v>
      </c>
      <c r="F13" s="169">
        <v>206</v>
      </c>
      <c r="H13" s="163">
        <v>400</v>
      </c>
      <c r="I13" s="163">
        <v>185</v>
      </c>
      <c r="J13" s="162"/>
      <c r="K13" s="162"/>
    </row>
    <row r="14" spans="1:14" x14ac:dyDescent="0.25">
      <c r="A14" s="171" t="s">
        <v>68</v>
      </c>
      <c r="B14" s="169">
        <v>150</v>
      </c>
      <c r="C14" s="169">
        <v>349</v>
      </c>
      <c r="D14" s="169">
        <v>307</v>
      </c>
      <c r="E14" s="169">
        <v>265</v>
      </c>
      <c r="F14" s="169">
        <v>236</v>
      </c>
      <c r="J14" s="162"/>
      <c r="K14" s="162"/>
    </row>
    <row r="15" spans="1:14" x14ac:dyDescent="0.25">
      <c r="A15" s="171" t="s">
        <v>68</v>
      </c>
      <c r="B15" s="169">
        <v>185</v>
      </c>
      <c r="C15" s="169">
        <v>395</v>
      </c>
      <c r="D15" s="169">
        <v>348</v>
      </c>
      <c r="E15" s="169">
        <v>300</v>
      </c>
      <c r="F15" s="169">
        <v>268</v>
      </c>
      <c r="J15" s="162"/>
      <c r="K15" s="162"/>
    </row>
    <row r="16" spans="1:14" x14ac:dyDescent="0.25">
      <c r="A16" s="171" t="s">
        <v>68</v>
      </c>
      <c r="B16" s="169">
        <v>240</v>
      </c>
      <c r="C16" s="169">
        <v>452</v>
      </c>
      <c r="D16" s="169">
        <v>407</v>
      </c>
      <c r="E16" s="169">
        <v>351</v>
      </c>
      <c r="F16" s="169">
        <v>313</v>
      </c>
      <c r="J16" s="162"/>
      <c r="K16" s="162"/>
    </row>
    <row r="17" spans="1:11" x14ac:dyDescent="0.25">
      <c r="A17" s="171" t="s">
        <v>68</v>
      </c>
      <c r="B17" s="169">
        <v>300</v>
      </c>
      <c r="C17" s="169">
        <v>529</v>
      </c>
      <c r="D17" s="169">
        <v>465</v>
      </c>
      <c r="E17" s="169">
        <v>401</v>
      </c>
      <c r="F17" s="169">
        <v>358</v>
      </c>
      <c r="J17" s="162"/>
      <c r="K17" s="162"/>
    </row>
    <row r="18" spans="1:11" x14ac:dyDescent="0.25">
      <c r="H18" s="162"/>
      <c r="I18" s="162"/>
      <c r="J18" s="162"/>
      <c r="K18" s="162"/>
    </row>
    <row r="19" spans="1:11" x14ac:dyDescent="0.25">
      <c r="A19" s="171" t="s">
        <v>63</v>
      </c>
      <c r="B19" s="169">
        <v>2.5</v>
      </c>
      <c r="C19" s="169">
        <v>34</v>
      </c>
      <c r="D19" s="169">
        <v>29</v>
      </c>
      <c r="E19" s="169">
        <v>29</v>
      </c>
      <c r="F19" s="169">
        <v>24</v>
      </c>
      <c r="G19" s="169"/>
      <c r="I19" s="162"/>
      <c r="J19" s="162"/>
      <c r="K19" s="162"/>
    </row>
    <row r="20" spans="1:11" x14ac:dyDescent="0.25">
      <c r="A20" s="171" t="s">
        <v>63</v>
      </c>
      <c r="B20" s="169">
        <v>4</v>
      </c>
      <c r="C20" s="169">
        <v>44</v>
      </c>
      <c r="D20" s="169">
        <v>37</v>
      </c>
      <c r="E20" s="169">
        <v>38</v>
      </c>
      <c r="F20" s="169">
        <v>31</v>
      </c>
      <c r="G20" s="169"/>
      <c r="H20" s="162"/>
      <c r="I20" s="162"/>
      <c r="J20" s="162"/>
      <c r="K20" s="162"/>
    </row>
    <row r="21" spans="1:11" x14ac:dyDescent="0.25">
      <c r="A21" s="171" t="s">
        <v>63</v>
      </c>
      <c r="B21" s="169">
        <v>6</v>
      </c>
      <c r="C21" s="169">
        <v>56</v>
      </c>
      <c r="D21" s="169">
        <v>46</v>
      </c>
      <c r="E21" s="169">
        <v>47</v>
      </c>
      <c r="F21" s="169">
        <v>39</v>
      </c>
      <c r="G21" s="169"/>
      <c r="J21" s="162"/>
      <c r="K21" s="162"/>
    </row>
    <row r="22" spans="1:11" x14ac:dyDescent="0.25">
      <c r="A22" s="171" t="s">
        <v>63</v>
      </c>
      <c r="B22" s="169">
        <v>10</v>
      </c>
      <c r="C22" s="169">
        <v>73</v>
      </c>
      <c r="D22" s="169">
        <v>61</v>
      </c>
      <c r="E22" s="169">
        <v>63</v>
      </c>
      <c r="F22" s="169">
        <v>52</v>
      </c>
      <c r="G22" s="169"/>
      <c r="J22" s="162"/>
      <c r="K22" s="162"/>
    </row>
    <row r="23" spans="1:11" x14ac:dyDescent="0.25">
      <c r="A23" s="171" t="s">
        <v>63</v>
      </c>
      <c r="B23" s="169">
        <v>16</v>
      </c>
      <c r="C23" s="169">
        <v>95</v>
      </c>
      <c r="D23" s="169">
        <v>79</v>
      </c>
      <c r="E23" s="169">
        <v>81</v>
      </c>
      <c r="F23" s="169">
        <v>67</v>
      </c>
      <c r="G23" s="169"/>
      <c r="J23" s="162"/>
      <c r="K23" s="162"/>
    </row>
    <row r="24" spans="1:11" x14ac:dyDescent="0.25">
      <c r="A24" s="171" t="s">
        <v>63</v>
      </c>
      <c r="B24" s="169">
        <v>25</v>
      </c>
      <c r="C24" s="169">
        <v>121</v>
      </c>
      <c r="D24" s="169">
        <v>101</v>
      </c>
      <c r="E24" s="169">
        <v>104</v>
      </c>
      <c r="F24" s="169">
        <v>86</v>
      </c>
      <c r="G24" s="169"/>
      <c r="J24" s="162"/>
      <c r="K24" s="162"/>
    </row>
    <row r="25" spans="1:11" x14ac:dyDescent="0.25">
      <c r="A25" s="171" t="s">
        <v>63</v>
      </c>
      <c r="B25" s="169">
        <v>35</v>
      </c>
      <c r="C25" s="169">
        <v>146</v>
      </c>
      <c r="D25" s="169">
        <v>122</v>
      </c>
      <c r="E25" s="169">
        <v>125</v>
      </c>
      <c r="F25" s="169">
        <v>103</v>
      </c>
      <c r="G25" s="169"/>
      <c r="H25" s="162"/>
      <c r="I25" s="162"/>
      <c r="J25" s="162"/>
      <c r="K25" s="162"/>
    </row>
    <row r="26" spans="1:11" x14ac:dyDescent="0.25">
      <c r="A26" s="171" t="s">
        <v>63</v>
      </c>
      <c r="B26" s="169">
        <v>50</v>
      </c>
      <c r="C26" s="169">
        <v>173</v>
      </c>
      <c r="D26" s="169">
        <v>144</v>
      </c>
      <c r="E26" s="169">
        <v>148</v>
      </c>
      <c r="F26" s="169">
        <v>122</v>
      </c>
      <c r="G26" s="169"/>
      <c r="H26" s="169"/>
      <c r="I26" s="169"/>
    </row>
    <row r="27" spans="1:11" x14ac:dyDescent="0.25">
      <c r="A27" s="171" t="s">
        <v>63</v>
      </c>
      <c r="B27" s="169">
        <v>70</v>
      </c>
      <c r="C27" s="169">
        <v>213</v>
      </c>
      <c r="D27" s="169">
        <v>178</v>
      </c>
      <c r="E27" s="169">
        <v>183</v>
      </c>
      <c r="F27" s="169">
        <v>151</v>
      </c>
      <c r="G27" s="169"/>
      <c r="H27" s="169"/>
      <c r="I27" s="169"/>
    </row>
    <row r="28" spans="1:11" x14ac:dyDescent="0.25">
      <c r="A28" s="171" t="s">
        <v>63</v>
      </c>
      <c r="B28" s="169">
        <v>95</v>
      </c>
      <c r="C28" s="169">
        <v>252</v>
      </c>
      <c r="D28" s="169">
        <v>211</v>
      </c>
      <c r="E28" s="169">
        <v>216</v>
      </c>
      <c r="F28" s="169">
        <v>179</v>
      </c>
      <c r="G28" s="169"/>
      <c r="H28" s="169"/>
      <c r="I28" s="169"/>
    </row>
    <row r="29" spans="1:11" x14ac:dyDescent="0.25">
      <c r="A29" s="171" t="s">
        <v>63</v>
      </c>
      <c r="B29" s="169">
        <v>120</v>
      </c>
      <c r="C29" s="169">
        <v>287</v>
      </c>
      <c r="D29" s="169">
        <v>240</v>
      </c>
      <c r="E29" s="169">
        <v>246</v>
      </c>
      <c r="F29" s="169">
        <v>203</v>
      </c>
      <c r="G29" s="169"/>
      <c r="H29" s="169"/>
      <c r="I29" s="169"/>
    </row>
    <row r="30" spans="1:11" x14ac:dyDescent="0.25">
      <c r="A30" s="171" t="s">
        <v>63</v>
      </c>
      <c r="B30" s="169">
        <v>150</v>
      </c>
      <c r="C30" s="169">
        <v>324</v>
      </c>
      <c r="D30" s="169">
        <v>271</v>
      </c>
      <c r="E30" s="169">
        <v>278</v>
      </c>
      <c r="F30" s="169">
        <v>230</v>
      </c>
      <c r="G30" s="169"/>
      <c r="H30" s="169"/>
      <c r="I30" s="169"/>
    </row>
    <row r="31" spans="1:11" x14ac:dyDescent="0.25">
      <c r="A31" s="171" t="s">
        <v>63</v>
      </c>
      <c r="B31" s="169">
        <v>185</v>
      </c>
      <c r="C31" s="169">
        <v>363</v>
      </c>
      <c r="D31" s="169">
        <v>304</v>
      </c>
      <c r="E31" s="169">
        <v>312</v>
      </c>
      <c r="F31" s="169">
        <v>258</v>
      </c>
      <c r="G31" s="169"/>
      <c r="H31" s="169"/>
      <c r="I31" s="169"/>
    </row>
    <row r="32" spans="1:11" x14ac:dyDescent="0.25">
      <c r="A32" s="171" t="s">
        <v>63</v>
      </c>
      <c r="B32" s="169">
        <v>240</v>
      </c>
      <c r="C32" s="169">
        <v>419</v>
      </c>
      <c r="D32" s="169">
        <v>351</v>
      </c>
      <c r="E32" s="169">
        <v>361</v>
      </c>
      <c r="F32" s="169">
        <v>297</v>
      </c>
      <c r="G32" s="169"/>
      <c r="H32" s="169"/>
      <c r="I32" s="169"/>
    </row>
    <row r="33" spans="1:9" x14ac:dyDescent="0.25">
      <c r="A33" s="171" t="s">
        <v>63</v>
      </c>
      <c r="B33" s="169">
        <v>300</v>
      </c>
      <c r="C33" s="169">
        <v>474</v>
      </c>
      <c r="D33" s="169">
        <v>396</v>
      </c>
      <c r="E33" s="169">
        <v>408</v>
      </c>
      <c r="F33" s="169">
        <v>336</v>
      </c>
      <c r="G33" s="169"/>
      <c r="H33" s="169"/>
      <c r="I33" s="169"/>
    </row>
    <row r="35" spans="1:9" x14ac:dyDescent="0.25">
      <c r="A35" s="171" t="s">
        <v>73</v>
      </c>
      <c r="B35" s="169">
        <v>2.5</v>
      </c>
      <c r="C35" s="169">
        <v>36</v>
      </c>
      <c r="D35" s="169">
        <v>32</v>
      </c>
      <c r="E35" s="169">
        <v>30</v>
      </c>
      <c r="F35" s="169">
        <v>25</v>
      </c>
      <c r="G35" s="169"/>
      <c r="H35" s="169"/>
      <c r="I35" s="169"/>
    </row>
    <row r="36" spans="1:9" x14ac:dyDescent="0.25">
      <c r="A36" s="171" t="s">
        <v>73</v>
      </c>
      <c r="B36" s="169">
        <v>4</v>
      </c>
      <c r="C36" s="169">
        <v>49</v>
      </c>
      <c r="D36" s="169">
        <v>42</v>
      </c>
      <c r="E36" s="169">
        <v>40</v>
      </c>
      <c r="F36" s="169">
        <v>34</v>
      </c>
      <c r="G36" s="169"/>
      <c r="H36" s="169"/>
      <c r="I36" s="169"/>
    </row>
    <row r="37" spans="1:9" x14ac:dyDescent="0.25">
      <c r="A37" s="171" t="s">
        <v>73</v>
      </c>
      <c r="B37" s="169">
        <v>6</v>
      </c>
      <c r="C37" s="169">
        <v>63</v>
      </c>
      <c r="D37" s="169">
        <v>54</v>
      </c>
      <c r="E37" s="169">
        <v>51</v>
      </c>
      <c r="F37" s="169">
        <v>43</v>
      </c>
      <c r="G37" s="169"/>
      <c r="H37" s="169"/>
      <c r="I37" s="169"/>
    </row>
    <row r="38" spans="1:9" x14ac:dyDescent="0.25">
      <c r="A38" s="171" t="s">
        <v>73</v>
      </c>
      <c r="B38" s="169">
        <v>10</v>
      </c>
      <c r="C38" s="169">
        <v>86</v>
      </c>
      <c r="D38" s="169">
        <v>75</v>
      </c>
      <c r="E38" s="169">
        <v>70</v>
      </c>
      <c r="F38" s="169">
        <v>60</v>
      </c>
      <c r="G38" s="169"/>
      <c r="H38" s="169"/>
      <c r="I38" s="169"/>
    </row>
    <row r="39" spans="1:9" x14ac:dyDescent="0.25">
      <c r="A39" s="171" t="s">
        <v>73</v>
      </c>
      <c r="B39" s="169">
        <v>16</v>
      </c>
      <c r="C39" s="169">
        <v>115</v>
      </c>
      <c r="D39" s="169">
        <v>100</v>
      </c>
      <c r="E39" s="169">
        <v>94</v>
      </c>
      <c r="F39" s="169">
        <v>80</v>
      </c>
      <c r="G39" s="169"/>
      <c r="H39" s="169"/>
      <c r="I39" s="169"/>
    </row>
    <row r="40" spans="1:9" x14ac:dyDescent="0.25">
      <c r="A40" s="171" t="s">
        <v>73</v>
      </c>
      <c r="B40" s="169">
        <v>25</v>
      </c>
      <c r="C40" s="169">
        <v>149</v>
      </c>
      <c r="D40" s="169">
        <v>127</v>
      </c>
      <c r="E40" s="169">
        <v>119</v>
      </c>
      <c r="F40" s="169">
        <v>101</v>
      </c>
      <c r="G40" s="169"/>
      <c r="H40" s="169"/>
      <c r="I40" s="169"/>
    </row>
    <row r="41" spans="1:9" x14ac:dyDescent="0.25">
      <c r="A41" s="171" t="s">
        <v>73</v>
      </c>
      <c r="B41" s="169">
        <v>35</v>
      </c>
      <c r="C41" s="169">
        <v>185</v>
      </c>
      <c r="D41" s="169">
        <v>158</v>
      </c>
      <c r="E41" s="169">
        <v>148</v>
      </c>
      <c r="F41" s="169">
        <v>126</v>
      </c>
      <c r="G41" s="169"/>
      <c r="H41" s="169"/>
      <c r="I41" s="169"/>
    </row>
    <row r="42" spans="1:9" x14ac:dyDescent="0.25">
      <c r="A42" s="171" t="s">
        <v>73</v>
      </c>
      <c r="B42" s="169">
        <v>50</v>
      </c>
      <c r="C42" s="169">
        <v>225</v>
      </c>
      <c r="D42" s="169">
        <v>192</v>
      </c>
      <c r="E42" s="169">
        <v>180</v>
      </c>
      <c r="F42" s="169">
        <v>153</v>
      </c>
      <c r="G42" s="169"/>
      <c r="H42" s="169"/>
      <c r="I42" s="169"/>
    </row>
    <row r="43" spans="1:9" x14ac:dyDescent="0.25">
      <c r="A43" s="171" t="s">
        <v>73</v>
      </c>
      <c r="B43" s="169">
        <v>70</v>
      </c>
      <c r="C43" s="169">
        <v>289</v>
      </c>
      <c r="D43" s="169">
        <v>246</v>
      </c>
      <c r="E43" s="169">
        <v>232</v>
      </c>
      <c r="F43" s="169">
        <v>196</v>
      </c>
      <c r="G43" s="169"/>
      <c r="H43" s="169"/>
      <c r="I43" s="169"/>
    </row>
    <row r="44" spans="1:9" x14ac:dyDescent="0.25">
      <c r="A44" s="171" t="s">
        <v>73</v>
      </c>
      <c r="B44" s="169">
        <v>95</v>
      </c>
      <c r="C44" s="169">
        <v>352</v>
      </c>
      <c r="D44" s="169">
        <v>298</v>
      </c>
      <c r="E44" s="169">
        <v>282</v>
      </c>
      <c r="F44" s="169">
        <v>238</v>
      </c>
      <c r="G44" s="169"/>
      <c r="H44" s="169"/>
      <c r="I44" s="169"/>
    </row>
    <row r="45" spans="1:9" x14ac:dyDescent="0.25">
      <c r="A45" s="171" t="s">
        <v>73</v>
      </c>
      <c r="B45" s="169">
        <v>120</v>
      </c>
      <c r="C45" s="169">
        <v>410</v>
      </c>
      <c r="D45" s="169">
        <v>346</v>
      </c>
      <c r="E45" s="169">
        <v>328</v>
      </c>
      <c r="F45" s="169">
        <v>276</v>
      </c>
      <c r="G45" s="169"/>
      <c r="H45" s="169"/>
      <c r="I45" s="169"/>
    </row>
    <row r="46" spans="1:9" x14ac:dyDescent="0.25">
      <c r="A46" s="171" t="s">
        <v>73</v>
      </c>
      <c r="B46" s="169">
        <v>150</v>
      </c>
      <c r="C46" s="169">
        <v>473</v>
      </c>
      <c r="D46" s="169">
        <v>399</v>
      </c>
      <c r="E46" s="169">
        <v>379</v>
      </c>
      <c r="F46" s="169">
        <v>319</v>
      </c>
      <c r="G46" s="169"/>
      <c r="H46" s="169"/>
      <c r="I46" s="169"/>
    </row>
    <row r="47" spans="1:9" x14ac:dyDescent="0.25">
      <c r="A47" s="171" t="s">
        <v>73</v>
      </c>
      <c r="B47" s="169">
        <v>185</v>
      </c>
      <c r="C47" s="169">
        <v>542</v>
      </c>
      <c r="D47" s="169">
        <v>456</v>
      </c>
      <c r="E47" s="169">
        <v>434</v>
      </c>
      <c r="F47" s="169">
        <v>364</v>
      </c>
      <c r="G47" s="169"/>
      <c r="H47" s="169"/>
      <c r="I47" s="169"/>
    </row>
    <row r="48" spans="1:9" x14ac:dyDescent="0.25">
      <c r="A48" s="171" t="s">
        <v>73</v>
      </c>
      <c r="B48" s="169">
        <v>240</v>
      </c>
      <c r="C48" s="169">
        <v>641</v>
      </c>
      <c r="D48" s="169">
        <v>538</v>
      </c>
      <c r="E48" s="169">
        <v>514</v>
      </c>
      <c r="F48" s="169">
        <v>430</v>
      </c>
      <c r="G48" s="169"/>
      <c r="H48" s="169"/>
      <c r="I48" s="169"/>
    </row>
    <row r="49" spans="1:9" x14ac:dyDescent="0.25">
      <c r="A49" s="171" t="s">
        <v>73</v>
      </c>
      <c r="B49" s="169">
        <v>300</v>
      </c>
      <c r="C49" s="169">
        <v>741</v>
      </c>
      <c r="D49" s="169">
        <v>621</v>
      </c>
      <c r="E49" s="169">
        <v>593</v>
      </c>
      <c r="F49" s="169">
        <v>497</v>
      </c>
      <c r="G49" s="169"/>
      <c r="H49" s="169"/>
      <c r="I49" s="169"/>
    </row>
    <row r="51" spans="1:9" x14ac:dyDescent="0.25">
      <c r="A51" s="171" t="s">
        <v>72</v>
      </c>
      <c r="B51" s="169">
        <v>2.5</v>
      </c>
      <c r="C51" s="169">
        <v>37</v>
      </c>
      <c r="D51" s="169">
        <v>29</v>
      </c>
      <c r="E51" s="169">
        <v>31</v>
      </c>
      <c r="F51" s="169">
        <v>24</v>
      </c>
      <c r="G51" s="169"/>
      <c r="H51" s="169"/>
      <c r="I51" s="169"/>
    </row>
    <row r="52" spans="1:9" x14ac:dyDescent="0.25">
      <c r="A52" s="171" t="s">
        <v>72</v>
      </c>
      <c r="B52" s="169">
        <v>4</v>
      </c>
      <c r="C52" s="169">
        <v>50</v>
      </c>
      <c r="D52" s="169">
        <v>40</v>
      </c>
      <c r="E52" s="169">
        <v>41</v>
      </c>
      <c r="F52" s="169">
        <v>33</v>
      </c>
      <c r="G52" s="169"/>
      <c r="H52" s="169"/>
      <c r="I52" s="169"/>
    </row>
    <row r="53" spans="1:9" x14ac:dyDescent="0.25">
      <c r="A53" s="171" t="s">
        <v>72</v>
      </c>
      <c r="B53" s="169">
        <v>6</v>
      </c>
      <c r="C53" s="169">
        <v>65</v>
      </c>
      <c r="D53" s="169">
        <v>53</v>
      </c>
      <c r="E53" s="169">
        <v>53</v>
      </c>
      <c r="F53" s="169">
        <v>43</v>
      </c>
      <c r="G53" s="169"/>
      <c r="H53" s="169"/>
      <c r="I53" s="169"/>
    </row>
    <row r="54" spans="1:9" x14ac:dyDescent="0.25">
      <c r="A54" s="171" t="s">
        <v>72</v>
      </c>
      <c r="B54" s="169">
        <v>10</v>
      </c>
      <c r="C54" s="169">
        <v>90</v>
      </c>
      <c r="D54" s="169">
        <v>74</v>
      </c>
      <c r="E54" s="169">
        <v>73</v>
      </c>
      <c r="F54" s="169">
        <v>60</v>
      </c>
      <c r="G54" s="169"/>
      <c r="H54" s="169"/>
      <c r="I54" s="169"/>
    </row>
    <row r="55" spans="1:9" x14ac:dyDescent="0.25">
      <c r="A55" s="171" t="s">
        <v>72</v>
      </c>
      <c r="B55" s="169">
        <v>16</v>
      </c>
      <c r="C55" s="169">
        <v>121</v>
      </c>
      <c r="D55" s="169">
        <v>101</v>
      </c>
      <c r="E55" s="169">
        <v>99</v>
      </c>
      <c r="F55" s="169">
        <v>82</v>
      </c>
      <c r="G55" s="169"/>
      <c r="H55" s="169"/>
      <c r="I55" s="169"/>
    </row>
    <row r="56" spans="1:9" x14ac:dyDescent="0.25">
      <c r="A56" s="171" t="s">
        <v>72</v>
      </c>
      <c r="B56" s="169">
        <v>25</v>
      </c>
      <c r="C56" s="169">
        <v>161</v>
      </c>
      <c r="D56" s="169">
        <v>135</v>
      </c>
      <c r="E56" s="169">
        <v>131</v>
      </c>
      <c r="F56" s="169">
        <v>110</v>
      </c>
      <c r="G56" s="169"/>
      <c r="H56" s="169"/>
      <c r="I56" s="169"/>
    </row>
    <row r="57" spans="1:9" x14ac:dyDescent="0.25">
      <c r="A57" s="171" t="s">
        <v>72</v>
      </c>
      <c r="B57" s="169">
        <v>35</v>
      </c>
      <c r="C57" s="169">
        <v>200</v>
      </c>
      <c r="D57" s="169">
        <v>169</v>
      </c>
      <c r="E57" s="169">
        <v>162</v>
      </c>
      <c r="F57" s="169">
        <v>137</v>
      </c>
      <c r="G57" s="169"/>
      <c r="H57" s="169"/>
      <c r="I57" s="169"/>
    </row>
    <row r="58" spans="1:9" x14ac:dyDescent="0.25">
      <c r="A58" s="171" t="s">
        <v>72</v>
      </c>
      <c r="B58" s="169">
        <v>50</v>
      </c>
      <c r="C58" s="169">
        <v>242</v>
      </c>
      <c r="D58" s="169">
        <v>207</v>
      </c>
      <c r="E58" s="169">
        <v>196</v>
      </c>
      <c r="F58" s="169">
        <v>167</v>
      </c>
      <c r="G58" s="169"/>
      <c r="H58" s="169"/>
      <c r="I58" s="169"/>
    </row>
    <row r="59" spans="1:9" x14ac:dyDescent="0.25">
      <c r="A59" s="171" t="s">
        <v>72</v>
      </c>
      <c r="B59" s="169">
        <v>70</v>
      </c>
      <c r="C59" s="169">
        <v>310</v>
      </c>
      <c r="D59" s="169">
        <v>268</v>
      </c>
      <c r="E59" s="169">
        <v>251</v>
      </c>
      <c r="F59" s="169">
        <v>216</v>
      </c>
      <c r="G59" s="169"/>
      <c r="H59" s="169"/>
      <c r="I59" s="169"/>
    </row>
    <row r="60" spans="1:9" x14ac:dyDescent="0.25">
      <c r="A60" s="171" t="s">
        <v>72</v>
      </c>
      <c r="B60" s="169">
        <v>95</v>
      </c>
      <c r="C60" s="169">
        <v>377</v>
      </c>
      <c r="D60" s="169">
        <v>328</v>
      </c>
      <c r="E60" s="169">
        <v>304</v>
      </c>
      <c r="F60" s="169">
        <v>264</v>
      </c>
      <c r="G60" s="169"/>
      <c r="H60" s="169"/>
      <c r="I60" s="169"/>
    </row>
    <row r="61" spans="1:9" x14ac:dyDescent="0.25">
      <c r="A61" s="171" t="s">
        <v>72</v>
      </c>
      <c r="B61" s="169">
        <v>120</v>
      </c>
      <c r="C61" s="169">
        <v>437</v>
      </c>
      <c r="D61" s="169">
        <v>383</v>
      </c>
      <c r="E61" s="169">
        <v>352</v>
      </c>
      <c r="F61" s="169">
        <v>308</v>
      </c>
      <c r="G61" s="169"/>
      <c r="H61" s="169"/>
      <c r="I61" s="169"/>
    </row>
    <row r="62" spans="1:9" x14ac:dyDescent="0.25">
      <c r="A62" s="171" t="s">
        <v>72</v>
      </c>
      <c r="B62" s="169">
        <v>150</v>
      </c>
      <c r="C62" s="169">
        <v>504</v>
      </c>
      <c r="D62" s="169">
        <v>444</v>
      </c>
      <c r="E62" s="169">
        <v>406</v>
      </c>
      <c r="F62" s="169">
        <v>356</v>
      </c>
      <c r="G62" s="169"/>
      <c r="H62" s="169"/>
      <c r="I62" s="169"/>
    </row>
    <row r="63" spans="1:9" x14ac:dyDescent="0.25">
      <c r="A63" s="171" t="s">
        <v>72</v>
      </c>
      <c r="B63" s="169">
        <v>185</v>
      </c>
      <c r="C63" s="169">
        <v>575</v>
      </c>
      <c r="D63" s="169">
        <v>510</v>
      </c>
      <c r="E63" s="169">
        <v>463</v>
      </c>
      <c r="F63" s="169">
        <v>409</v>
      </c>
      <c r="G63" s="169"/>
      <c r="H63" s="169"/>
      <c r="I63" s="169"/>
    </row>
    <row r="64" spans="1:9" x14ac:dyDescent="0.25">
      <c r="A64" s="171" t="s">
        <v>72</v>
      </c>
      <c r="B64" s="169">
        <v>240</v>
      </c>
      <c r="C64" s="169">
        <v>679</v>
      </c>
      <c r="D64" s="169">
        <v>607</v>
      </c>
      <c r="E64" s="169">
        <v>546</v>
      </c>
      <c r="F64" s="169">
        <v>485</v>
      </c>
      <c r="G64" s="169"/>
      <c r="H64" s="169"/>
      <c r="I64" s="169"/>
    </row>
    <row r="65" spans="1:9" x14ac:dyDescent="0.25">
      <c r="A65" s="171" t="s">
        <v>72</v>
      </c>
      <c r="B65" s="169">
        <v>300</v>
      </c>
      <c r="C65" s="169">
        <v>783</v>
      </c>
      <c r="D65" s="169">
        <v>703</v>
      </c>
      <c r="E65" s="169">
        <v>629</v>
      </c>
      <c r="F65" s="169">
        <v>561</v>
      </c>
      <c r="G65" s="169"/>
      <c r="H65" s="169"/>
      <c r="I65" s="169"/>
    </row>
    <row r="67" spans="1:9" x14ac:dyDescent="0.25">
      <c r="A67" s="171" t="s">
        <v>69</v>
      </c>
      <c r="B67" s="169">
        <v>2.5</v>
      </c>
      <c r="C67" s="169">
        <v>31</v>
      </c>
      <c r="D67" s="169">
        <v>28</v>
      </c>
      <c r="E67" s="169">
        <v>24</v>
      </c>
      <c r="F67" s="169">
        <v>21</v>
      </c>
      <c r="G67" s="169"/>
      <c r="H67" s="169"/>
      <c r="I67" s="169"/>
    </row>
    <row r="68" spans="1:9" x14ac:dyDescent="0.25">
      <c r="A68" s="171" t="s">
        <v>69</v>
      </c>
      <c r="B68" s="169">
        <v>4</v>
      </c>
      <c r="C68" s="169">
        <v>42</v>
      </c>
      <c r="D68" s="169">
        <v>37</v>
      </c>
      <c r="E68" s="169">
        <v>32</v>
      </c>
      <c r="F68" s="169">
        <v>28</v>
      </c>
      <c r="G68" s="169"/>
      <c r="H68" s="169"/>
      <c r="I68" s="169"/>
    </row>
    <row r="69" spans="1:9" x14ac:dyDescent="0.25">
      <c r="A69" s="171" t="s">
        <v>69</v>
      </c>
      <c r="B69" s="169">
        <v>6</v>
      </c>
      <c r="C69" s="169">
        <v>54</v>
      </c>
      <c r="D69" s="169">
        <v>48</v>
      </c>
      <c r="E69" s="169">
        <v>41</v>
      </c>
      <c r="F69" s="169">
        <v>36</v>
      </c>
      <c r="G69" s="169"/>
      <c r="H69" s="169"/>
      <c r="I69" s="169"/>
    </row>
    <row r="70" spans="1:9" x14ac:dyDescent="0.25">
      <c r="A70" s="171" t="s">
        <v>69</v>
      </c>
      <c r="B70" s="169">
        <v>10</v>
      </c>
      <c r="C70" s="169">
        <v>75</v>
      </c>
      <c r="D70" s="169">
        <v>66</v>
      </c>
      <c r="E70" s="169">
        <v>57</v>
      </c>
      <c r="F70" s="169">
        <v>50</v>
      </c>
      <c r="G70" s="169"/>
      <c r="H70" s="169"/>
      <c r="I70" s="169"/>
    </row>
    <row r="71" spans="1:9" x14ac:dyDescent="0.25">
      <c r="A71" s="171" t="s">
        <v>69</v>
      </c>
      <c r="B71" s="169">
        <v>16</v>
      </c>
      <c r="C71" s="169">
        <v>100</v>
      </c>
      <c r="D71" s="169">
        <v>88</v>
      </c>
      <c r="E71" s="169">
        <v>76</v>
      </c>
      <c r="F71" s="169">
        <v>68</v>
      </c>
      <c r="G71" s="169"/>
      <c r="H71" s="169"/>
      <c r="I71" s="169"/>
    </row>
    <row r="72" spans="1:9" x14ac:dyDescent="0.25">
      <c r="A72" s="171" t="s">
        <v>69</v>
      </c>
      <c r="B72" s="169">
        <v>25</v>
      </c>
      <c r="C72" s="169">
        <v>133</v>
      </c>
      <c r="D72" s="169">
        <v>117</v>
      </c>
      <c r="E72" s="169">
        <v>101</v>
      </c>
      <c r="F72" s="169">
        <v>89</v>
      </c>
      <c r="G72" s="169"/>
      <c r="H72" s="169"/>
      <c r="I72" s="169"/>
    </row>
    <row r="73" spans="1:9" x14ac:dyDescent="0.25">
      <c r="A73" s="171" t="s">
        <v>69</v>
      </c>
      <c r="B73" s="169">
        <v>35</v>
      </c>
      <c r="C73" s="169">
        <v>164</v>
      </c>
      <c r="D73" s="169">
        <v>144</v>
      </c>
      <c r="E73" s="169">
        <v>125</v>
      </c>
      <c r="F73" s="169">
        <v>110</v>
      </c>
      <c r="G73" s="169"/>
      <c r="H73" s="169"/>
      <c r="I73" s="169"/>
    </row>
    <row r="74" spans="1:9" x14ac:dyDescent="0.25">
      <c r="A74" s="171" t="s">
        <v>69</v>
      </c>
      <c r="B74" s="169">
        <v>50</v>
      </c>
      <c r="C74" s="169">
        <v>198</v>
      </c>
      <c r="D74" s="169">
        <v>175</v>
      </c>
      <c r="E74" s="169">
        <v>151</v>
      </c>
      <c r="F74" s="169">
        <v>134</v>
      </c>
      <c r="G74" s="169"/>
      <c r="H74" s="169"/>
      <c r="I74" s="169"/>
    </row>
    <row r="75" spans="1:9" x14ac:dyDescent="0.25">
      <c r="A75" s="171" t="s">
        <v>69</v>
      </c>
      <c r="B75" s="169">
        <v>70</v>
      </c>
      <c r="C75" s="169">
        <v>253</v>
      </c>
      <c r="D75" s="169">
        <v>222</v>
      </c>
      <c r="E75" s="169">
        <v>192</v>
      </c>
      <c r="F75" s="169">
        <v>171</v>
      </c>
      <c r="G75" s="169"/>
      <c r="H75" s="169"/>
      <c r="I75" s="169"/>
    </row>
    <row r="76" spans="1:9" x14ac:dyDescent="0.25">
      <c r="A76" s="171" t="s">
        <v>69</v>
      </c>
      <c r="B76" s="169">
        <v>95</v>
      </c>
      <c r="C76" s="169">
        <v>306</v>
      </c>
      <c r="D76" s="169">
        <v>269</v>
      </c>
      <c r="E76" s="169">
        <v>232</v>
      </c>
      <c r="F76" s="169">
        <v>207</v>
      </c>
      <c r="G76" s="169"/>
      <c r="H76" s="169"/>
      <c r="I76" s="169"/>
    </row>
    <row r="77" spans="1:9" x14ac:dyDescent="0.25">
      <c r="A77" s="171" t="s">
        <v>69</v>
      </c>
      <c r="B77" s="169">
        <v>120</v>
      </c>
      <c r="C77" s="169">
        <v>354</v>
      </c>
      <c r="D77" s="169">
        <v>312</v>
      </c>
      <c r="E77" s="169">
        <v>269</v>
      </c>
      <c r="F77" s="169">
        <v>239</v>
      </c>
      <c r="G77" s="169"/>
      <c r="H77" s="169"/>
      <c r="I77" s="169"/>
    </row>
    <row r="78" spans="1:9" x14ac:dyDescent="0.25">
      <c r="A78" s="171" t="s">
        <v>69</v>
      </c>
      <c r="B78" s="169">
        <v>150</v>
      </c>
      <c r="C78" s="169">
        <v>407</v>
      </c>
      <c r="D78" s="169">
        <v>358</v>
      </c>
      <c r="E78" s="169">
        <v>309</v>
      </c>
      <c r="F78" s="169">
        <v>275</v>
      </c>
      <c r="G78" s="169"/>
      <c r="H78" s="169"/>
      <c r="I78" s="169"/>
    </row>
    <row r="79" spans="1:9" x14ac:dyDescent="0.25">
      <c r="A79" s="171" t="s">
        <v>69</v>
      </c>
      <c r="B79" s="169">
        <v>185</v>
      </c>
      <c r="C79" s="169">
        <v>464</v>
      </c>
      <c r="D79" s="169">
        <v>408</v>
      </c>
      <c r="E79" s="169">
        <v>353</v>
      </c>
      <c r="F79" s="169">
        <v>314</v>
      </c>
      <c r="G79" s="169"/>
      <c r="H79" s="169"/>
      <c r="I79" s="169"/>
    </row>
    <row r="80" spans="1:9" x14ac:dyDescent="0.25">
      <c r="A80" s="171" t="s">
        <v>69</v>
      </c>
      <c r="B80" s="169">
        <v>240</v>
      </c>
      <c r="C80" s="169">
        <v>546</v>
      </c>
      <c r="D80" s="169">
        <v>481</v>
      </c>
      <c r="E80" s="169">
        <v>415</v>
      </c>
      <c r="F80" s="169">
        <v>370</v>
      </c>
      <c r="G80" s="169"/>
      <c r="H80" s="169"/>
      <c r="I80" s="169"/>
    </row>
    <row r="81" spans="1:9" x14ac:dyDescent="0.25">
      <c r="A81" s="171" t="s">
        <v>69</v>
      </c>
      <c r="B81" s="169">
        <v>300</v>
      </c>
      <c r="C81" s="169">
        <v>628</v>
      </c>
      <c r="D81" s="169">
        <v>553</v>
      </c>
      <c r="E81" s="169">
        <v>477</v>
      </c>
      <c r="F81" s="169">
        <v>426</v>
      </c>
      <c r="G81" s="169"/>
      <c r="H81" s="169"/>
      <c r="I81" s="169"/>
    </row>
    <row r="83" spans="1:9" ht="17.399999999999999" x14ac:dyDescent="0.25">
      <c r="B83" s="167"/>
    </row>
    <row r="85" spans="1:9" ht="26.4" customHeight="1" x14ac:dyDescent="0.25">
      <c r="B85" s="168"/>
      <c r="C85" s="168"/>
      <c r="D85" s="168"/>
      <c r="E85" s="168"/>
      <c r="F85" s="168"/>
      <c r="G85" s="205"/>
      <c r="H85" s="205"/>
      <c r="I85" s="205"/>
    </row>
    <row r="86" spans="1:9" x14ac:dyDescent="0.25">
      <c r="B86" s="163"/>
      <c r="C86" s="169"/>
      <c r="D86" s="169"/>
      <c r="E86" s="169"/>
      <c r="F86" s="169"/>
      <c r="G86" s="169"/>
      <c r="H86" s="169"/>
      <c r="I86" s="169"/>
    </row>
    <row r="87" spans="1:9" x14ac:dyDescent="0.25">
      <c r="B87" s="169"/>
      <c r="C87" s="169"/>
      <c r="D87" s="169"/>
      <c r="E87" s="169"/>
      <c r="F87" s="169"/>
      <c r="G87" s="169"/>
      <c r="H87" s="169"/>
      <c r="I87" s="169"/>
    </row>
    <row r="88" spans="1:9" x14ac:dyDescent="0.25">
      <c r="B88" s="169"/>
      <c r="C88" s="169"/>
      <c r="D88" s="169"/>
      <c r="E88" s="169"/>
      <c r="F88" s="169"/>
      <c r="G88" s="169"/>
      <c r="H88" s="169"/>
      <c r="I88" s="169"/>
    </row>
    <row r="89" spans="1:9" x14ac:dyDescent="0.25">
      <c r="B89" s="169"/>
      <c r="C89" s="169"/>
      <c r="D89" s="169"/>
      <c r="E89" s="169"/>
      <c r="F89" s="169"/>
      <c r="G89" s="169"/>
      <c r="H89" s="169"/>
      <c r="I89" s="169"/>
    </row>
    <row r="90" spans="1:9" x14ac:dyDescent="0.25">
      <c r="B90" s="169"/>
      <c r="C90" s="169"/>
      <c r="D90" s="169"/>
      <c r="E90" s="169"/>
      <c r="F90" s="169"/>
      <c r="G90" s="169"/>
      <c r="H90" s="169"/>
      <c r="I90" s="169"/>
    </row>
    <row r="91" spans="1:9" x14ac:dyDescent="0.25">
      <c r="B91" s="169"/>
      <c r="C91" s="169"/>
      <c r="D91" s="169"/>
      <c r="E91" s="169"/>
      <c r="F91" s="169"/>
      <c r="G91" s="169"/>
      <c r="H91" s="169"/>
      <c r="I91" s="169"/>
    </row>
    <row r="92" spans="1:9" x14ac:dyDescent="0.25">
      <c r="B92" s="169"/>
      <c r="C92" s="169"/>
      <c r="D92" s="169"/>
      <c r="E92" s="169"/>
      <c r="F92" s="169"/>
      <c r="G92" s="169"/>
      <c r="H92" s="169"/>
      <c r="I92" s="169"/>
    </row>
    <row r="93" spans="1:9" x14ac:dyDescent="0.25">
      <c r="B93" s="169"/>
      <c r="C93" s="169"/>
      <c r="D93" s="169"/>
      <c r="E93" s="169"/>
      <c r="F93" s="169"/>
      <c r="G93" s="169"/>
      <c r="H93" s="169"/>
      <c r="I93" s="169"/>
    </row>
    <row r="94" spans="1:9" x14ac:dyDescent="0.25">
      <c r="B94" s="169"/>
      <c r="C94" s="169"/>
      <c r="D94" s="169"/>
      <c r="E94" s="169"/>
      <c r="F94" s="169"/>
      <c r="G94" s="169"/>
      <c r="H94" s="169"/>
      <c r="I94" s="169"/>
    </row>
    <row r="95" spans="1:9" x14ac:dyDescent="0.25">
      <c r="B95" s="169"/>
      <c r="C95" s="169"/>
      <c r="D95" s="169"/>
      <c r="E95" s="169"/>
      <c r="F95" s="169"/>
      <c r="G95" s="169"/>
      <c r="H95" s="169"/>
      <c r="I95" s="169"/>
    </row>
    <row r="96" spans="1:9" x14ac:dyDescent="0.25">
      <c r="B96" s="169"/>
      <c r="C96" s="169"/>
      <c r="D96" s="169"/>
      <c r="E96" s="169"/>
      <c r="F96" s="169"/>
      <c r="G96" s="169"/>
      <c r="H96" s="169"/>
      <c r="I96" s="169"/>
    </row>
    <row r="97" spans="2:9" x14ac:dyDescent="0.25">
      <c r="B97" s="169"/>
      <c r="C97" s="169"/>
      <c r="D97" s="169"/>
      <c r="E97" s="169"/>
      <c r="F97" s="169"/>
      <c r="G97" s="169"/>
      <c r="H97" s="169"/>
      <c r="I97" s="169"/>
    </row>
    <row r="98" spans="2:9" x14ac:dyDescent="0.25">
      <c r="B98" s="169"/>
      <c r="C98" s="169"/>
      <c r="D98" s="169"/>
      <c r="E98" s="169"/>
      <c r="F98" s="169"/>
      <c r="G98" s="169"/>
      <c r="H98" s="169"/>
      <c r="I98" s="169"/>
    </row>
    <row r="99" spans="2:9" x14ac:dyDescent="0.25">
      <c r="B99" s="169"/>
      <c r="C99" s="169"/>
      <c r="D99" s="169"/>
      <c r="E99" s="169"/>
      <c r="F99" s="169"/>
      <c r="G99" s="169"/>
      <c r="H99" s="169"/>
      <c r="I99" s="169"/>
    </row>
    <row r="100" spans="2:9" x14ac:dyDescent="0.25">
      <c r="B100" s="169"/>
      <c r="C100" s="169"/>
      <c r="D100" s="169"/>
      <c r="E100" s="169"/>
      <c r="F100" s="169"/>
      <c r="G100" s="169"/>
      <c r="H100" s="169"/>
      <c r="I100" s="169"/>
    </row>
    <row r="101" spans="2:9" x14ac:dyDescent="0.25">
      <c r="B101" s="169"/>
      <c r="C101" s="169"/>
      <c r="D101" s="169"/>
      <c r="E101" s="169"/>
      <c r="F101" s="169"/>
      <c r="G101" s="169"/>
      <c r="H101" s="169"/>
      <c r="I101" s="169"/>
    </row>
    <row r="103" spans="2:9" ht="17.399999999999999" x14ac:dyDescent="0.25">
      <c r="B103" s="167"/>
    </row>
    <row r="105" spans="2:9" ht="26.4" customHeight="1" x14ac:dyDescent="0.25">
      <c r="B105" s="168"/>
      <c r="C105" s="168"/>
      <c r="D105" s="168"/>
      <c r="E105" s="168"/>
      <c r="F105" s="168"/>
      <c r="G105" s="205"/>
      <c r="H105" s="205"/>
      <c r="I105" s="205"/>
    </row>
    <row r="106" spans="2:9" x14ac:dyDescent="0.25">
      <c r="B106" s="163"/>
      <c r="C106" s="169"/>
      <c r="D106" s="169"/>
      <c r="E106" s="169"/>
      <c r="F106" s="169"/>
      <c r="G106" s="169"/>
      <c r="H106" s="169"/>
      <c r="I106" s="169"/>
    </row>
    <row r="107" spans="2:9" x14ac:dyDescent="0.25">
      <c r="B107" s="169"/>
      <c r="C107" s="169"/>
      <c r="D107" s="169"/>
      <c r="E107" s="169"/>
      <c r="F107" s="169"/>
      <c r="G107" s="169"/>
      <c r="H107" s="169"/>
      <c r="I107" s="169"/>
    </row>
    <row r="108" spans="2:9" x14ac:dyDescent="0.25">
      <c r="B108" s="169"/>
      <c r="C108" s="169"/>
      <c r="D108" s="169"/>
      <c r="E108" s="169"/>
      <c r="F108" s="169"/>
      <c r="G108" s="169"/>
      <c r="H108" s="169"/>
      <c r="I108" s="169"/>
    </row>
    <row r="109" spans="2:9" x14ac:dyDescent="0.25">
      <c r="B109" s="169"/>
      <c r="C109" s="169"/>
      <c r="D109" s="169"/>
      <c r="E109" s="169"/>
      <c r="F109" s="169"/>
      <c r="G109" s="169"/>
      <c r="H109" s="169"/>
      <c r="I109" s="169"/>
    </row>
    <row r="110" spans="2:9" x14ac:dyDescent="0.25">
      <c r="B110" s="169"/>
      <c r="C110" s="169"/>
      <c r="D110" s="169"/>
      <c r="E110" s="169"/>
      <c r="F110" s="169"/>
      <c r="G110" s="169"/>
      <c r="H110" s="169"/>
      <c r="I110" s="169"/>
    </row>
    <row r="111" spans="2:9" x14ac:dyDescent="0.25">
      <c r="B111" s="169"/>
      <c r="C111" s="169"/>
      <c r="D111" s="169"/>
      <c r="E111" s="169"/>
      <c r="F111" s="169"/>
      <c r="G111" s="169"/>
      <c r="H111" s="169"/>
      <c r="I111" s="169"/>
    </row>
    <row r="112" spans="2:9" x14ac:dyDescent="0.25">
      <c r="B112" s="169"/>
      <c r="C112" s="169"/>
      <c r="D112" s="169"/>
      <c r="E112" s="169"/>
      <c r="F112" s="169"/>
      <c r="G112" s="169"/>
      <c r="H112" s="169"/>
      <c r="I112" s="169"/>
    </row>
    <row r="113" spans="2:9" x14ac:dyDescent="0.25">
      <c r="B113" s="169"/>
      <c r="C113" s="169"/>
      <c r="D113" s="169"/>
      <c r="E113" s="169"/>
      <c r="F113" s="169"/>
      <c r="G113" s="169"/>
      <c r="H113" s="169"/>
      <c r="I113" s="169"/>
    </row>
    <row r="114" spans="2:9" x14ac:dyDescent="0.25">
      <c r="B114" s="169"/>
      <c r="C114" s="169"/>
      <c r="D114" s="169"/>
      <c r="E114" s="169"/>
      <c r="F114" s="169"/>
      <c r="G114" s="169"/>
      <c r="H114" s="169"/>
      <c r="I114" s="169"/>
    </row>
    <row r="115" spans="2:9" x14ac:dyDescent="0.25">
      <c r="B115" s="169"/>
      <c r="C115" s="169"/>
      <c r="D115" s="169"/>
      <c r="E115" s="169"/>
      <c r="F115" s="169"/>
      <c r="G115" s="169"/>
      <c r="H115" s="169"/>
      <c r="I115" s="169"/>
    </row>
    <row r="116" spans="2:9" x14ac:dyDescent="0.25">
      <c r="B116" s="169"/>
      <c r="C116" s="169"/>
      <c r="D116" s="169"/>
      <c r="E116" s="169"/>
      <c r="F116" s="169"/>
      <c r="G116" s="169"/>
      <c r="H116" s="169"/>
      <c r="I116" s="169"/>
    </row>
    <row r="117" spans="2:9" x14ac:dyDescent="0.25">
      <c r="B117" s="169"/>
      <c r="C117" s="169"/>
      <c r="D117" s="169"/>
      <c r="E117" s="169"/>
      <c r="F117" s="169"/>
      <c r="G117" s="169"/>
      <c r="H117" s="169"/>
      <c r="I117" s="169"/>
    </row>
    <row r="118" spans="2:9" x14ac:dyDescent="0.25">
      <c r="B118" s="169"/>
      <c r="C118" s="169"/>
      <c r="D118" s="169"/>
      <c r="E118" s="169"/>
      <c r="F118" s="169"/>
      <c r="G118" s="169"/>
      <c r="H118" s="169"/>
      <c r="I118" s="169"/>
    </row>
    <row r="119" spans="2:9" x14ac:dyDescent="0.25">
      <c r="B119" s="169"/>
      <c r="C119" s="169"/>
      <c r="D119" s="169"/>
      <c r="E119" s="169"/>
      <c r="F119" s="169"/>
      <c r="G119" s="169"/>
      <c r="H119" s="169"/>
      <c r="I119" s="169"/>
    </row>
    <row r="120" spans="2:9" x14ac:dyDescent="0.25">
      <c r="B120" s="169"/>
      <c r="C120" s="169"/>
      <c r="D120" s="169"/>
      <c r="E120" s="169"/>
      <c r="F120" s="169"/>
      <c r="G120" s="169"/>
      <c r="H120" s="169"/>
      <c r="I120" s="169"/>
    </row>
    <row r="121" spans="2:9" x14ac:dyDescent="0.25">
      <c r="B121" s="169"/>
      <c r="C121" s="169"/>
      <c r="D121" s="169"/>
      <c r="E121" s="169"/>
      <c r="F121" s="169"/>
      <c r="G121" s="169"/>
      <c r="H121" s="169"/>
      <c r="I121" s="169"/>
    </row>
  </sheetData>
  <dataConsolidate/>
  <mergeCells count="6">
    <mergeCell ref="G105:I105"/>
    <mergeCell ref="C1:D1"/>
    <mergeCell ref="E1:F1"/>
    <mergeCell ref="G85:I85"/>
    <mergeCell ref="A1:A2"/>
    <mergeCell ref="B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47BA-7C76-4CD4-829C-D69BDC611572}">
  <dimension ref="A1:M105"/>
  <sheetViews>
    <sheetView topLeftCell="A6" workbookViewId="0">
      <selection activeCell="B14" sqref="B14"/>
    </sheetView>
  </sheetViews>
  <sheetFormatPr defaultRowHeight="13.2" x14ac:dyDescent="0.25"/>
  <cols>
    <col min="1" max="16" width="13.77734375" style="162" customWidth="1"/>
    <col min="17" max="22" width="15.77734375" style="162" customWidth="1"/>
    <col min="23" max="16384" width="8.88671875" style="162"/>
  </cols>
  <sheetData>
    <row r="1" spans="1:9" ht="17.399999999999999" x14ac:dyDescent="0.25">
      <c r="A1" s="167" t="s">
        <v>356</v>
      </c>
    </row>
    <row r="2" spans="1:9" s="161" customFormat="1" ht="19.2" customHeight="1" x14ac:dyDescent="0.25">
      <c r="A2" s="207" t="s">
        <v>281</v>
      </c>
      <c r="B2" s="207" t="s">
        <v>352</v>
      </c>
      <c r="C2" s="207"/>
      <c r="D2" s="207" t="s">
        <v>85</v>
      </c>
      <c r="E2" s="207"/>
      <c r="F2" s="205" t="s">
        <v>88</v>
      </c>
      <c r="G2" s="205"/>
      <c r="H2" s="205" t="s">
        <v>86</v>
      </c>
      <c r="I2" s="207"/>
    </row>
    <row r="3" spans="1:9" x14ac:dyDescent="0.25">
      <c r="A3" s="207"/>
      <c r="B3" s="168" t="s">
        <v>354</v>
      </c>
      <c r="C3" s="168" t="s">
        <v>355</v>
      </c>
      <c r="D3" s="168" t="s">
        <v>354</v>
      </c>
      <c r="E3" s="168" t="s">
        <v>355</v>
      </c>
      <c r="F3" s="168" t="s">
        <v>354</v>
      </c>
      <c r="G3" s="168" t="s">
        <v>355</v>
      </c>
      <c r="H3" s="168" t="s">
        <v>354</v>
      </c>
      <c r="I3" s="168" t="s">
        <v>355</v>
      </c>
    </row>
    <row r="4" spans="1:9" x14ac:dyDescent="0.25">
      <c r="A4" s="163">
        <v>1.5</v>
      </c>
      <c r="B4" s="163">
        <v>15.9</v>
      </c>
      <c r="C4" s="163">
        <v>0.16</v>
      </c>
      <c r="D4" s="163">
        <v>15.9</v>
      </c>
      <c r="E4" s="163">
        <v>0.13</v>
      </c>
      <c r="F4" s="162">
        <v>15.9</v>
      </c>
      <c r="G4" s="162">
        <v>0.16</v>
      </c>
      <c r="H4" s="162">
        <v>15.9</v>
      </c>
      <c r="I4" s="162">
        <v>0.13</v>
      </c>
    </row>
    <row r="5" spans="1:9" x14ac:dyDescent="0.25">
      <c r="A5" s="163">
        <v>2.5</v>
      </c>
      <c r="B5" s="163">
        <v>9.5500000000000007</v>
      </c>
      <c r="C5" s="163">
        <v>0.15</v>
      </c>
      <c r="D5" s="163">
        <v>9.5500000000000007</v>
      </c>
      <c r="E5" s="163">
        <v>0.12</v>
      </c>
      <c r="F5" s="162">
        <v>9.5500000000000007</v>
      </c>
      <c r="G5" s="162">
        <v>0.15</v>
      </c>
      <c r="H5" s="162">
        <v>9.5500000000000007</v>
      </c>
      <c r="I5" s="162">
        <v>0.12</v>
      </c>
    </row>
    <row r="6" spans="1:9" x14ac:dyDescent="0.25">
      <c r="A6" s="163">
        <v>4</v>
      </c>
      <c r="B6" s="163">
        <v>5.92</v>
      </c>
      <c r="C6" s="163">
        <v>0.15</v>
      </c>
      <c r="D6" s="163">
        <v>5.92</v>
      </c>
      <c r="E6" s="163">
        <v>0.12</v>
      </c>
      <c r="F6" s="162">
        <v>5.92</v>
      </c>
      <c r="G6" s="162">
        <v>0.15</v>
      </c>
      <c r="H6" s="162">
        <v>5.92</v>
      </c>
      <c r="I6" s="162">
        <v>0.12</v>
      </c>
    </row>
    <row r="7" spans="1:9" x14ac:dyDescent="0.25">
      <c r="A7" s="163">
        <v>6</v>
      </c>
      <c r="B7" s="163">
        <v>3.95</v>
      </c>
      <c r="C7" s="163">
        <v>0.13</v>
      </c>
      <c r="D7" s="163">
        <v>3.95</v>
      </c>
      <c r="E7" s="163">
        <v>0.11</v>
      </c>
      <c r="F7" s="162">
        <v>3.95</v>
      </c>
      <c r="G7" s="162">
        <v>0.13</v>
      </c>
      <c r="H7" s="162">
        <v>3.95</v>
      </c>
      <c r="I7" s="162">
        <v>0.11</v>
      </c>
    </row>
    <row r="8" spans="1:9" x14ac:dyDescent="0.25">
      <c r="A8" s="163">
        <v>10</v>
      </c>
      <c r="B8" s="163">
        <v>2.29</v>
      </c>
      <c r="C8" s="163">
        <v>0.12</v>
      </c>
      <c r="D8" s="163">
        <v>2.29</v>
      </c>
      <c r="E8" s="163">
        <v>0.1</v>
      </c>
      <c r="F8" s="162">
        <v>2.29</v>
      </c>
      <c r="G8" s="162">
        <v>0.12</v>
      </c>
      <c r="H8" s="162">
        <v>2.29</v>
      </c>
      <c r="I8" s="162">
        <v>0.1</v>
      </c>
    </row>
    <row r="9" spans="1:9" x14ac:dyDescent="0.25">
      <c r="A9" s="163">
        <v>16</v>
      </c>
      <c r="B9" s="163">
        <v>1.45</v>
      </c>
      <c r="C9" s="163">
        <v>0.11</v>
      </c>
      <c r="D9" s="163">
        <v>1.45</v>
      </c>
      <c r="E9" s="163">
        <v>0.09</v>
      </c>
      <c r="F9" s="162">
        <v>1.45</v>
      </c>
      <c r="G9" s="162">
        <v>0.11</v>
      </c>
      <c r="H9" s="162">
        <v>1.45</v>
      </c>
      <c r="I9" s="162">
        <v>0.09</v>
      </c>
    </row>
    <row r="10" spans="1:9" x14ac:dyDescent="0.25">
      <c r="A10" s="163">
        <v>25</v>
      </c>
      <c r="B10" s="163">
        <v>0.93</v>
      </c>
      <c r="C10" s="163">
        <v>0.11</v>
      </c>
      <c r="D10" s="163">
        <v>0.93</v>
      </c>
      <c r="E10" s="163">
        <v>0.1</v>
      </c>
      <c r="F10" s="162">
        <v>0.93</v>
      </c>
      <c r="G10" s="162">
        <v>0.11</v>
      </c>
      <c r="H10" s="162">
        <v>0.93</v>
      </c>
      <c r="I10" s="162">
        <v>0.1</v>
      </c>
    </row>
    <row r="11" spans="1:9" x14ac:dyDescent="0.25">
      <c r="A11" s="163">
        <v>35</v>
      </c>
      <c r="B11" s="163">
        <v>0.66</v>
      </c>
      <c r="C11" s="163">
        <v>0.1</v>
      </c>
      <c r="D11" s="163">
        <v>0.66</v>
      </c>
      <c r="E11" s="163">
        <v>0.09</v>
      </c>
      <c r="F11" s="162">
        <v>0.66</v>
      </c>
      <c r="G11" s="162">
        <v>0.1</v>
      </c>
      <c r="H11" s="162">
        <v>0.66</v>
      </c>
      <c r="I11" s="162">
        <v>0.09</v>
      </c>
    </row>
    <row r="12" spans="1:9" x14ac:dyDescent="0.25">
      <c r="A12" s="163">
        <v>50</v>
      </c>
      <c r="B12" s="163">
        <v>0.46</v>
      </c>
      <c r="C12" s="163">
        <v>0.1</v>
      </c>
      <c r="D12" s="163">
        <v>0.46</v>
      </c>
      <c r="E12" s="163">
        <v>0.09</v>
      </c>
      <c r="F12" s="162">
        <v>0.46</v>
      </c>
      <c r="G12" s="162">
        <v>0.1</v>
      </c>
      <c r="H12" s="162">
        <v>0.46</v>
      </c>
      <c r="I12" s="162">
        <v>0.09</v>
      </c>
    </row>
    <row r="13" spans="1:9" x14ac:dyDescent="0.25">
      <c r="A13" s="163">
        <v>70</v>
      </c>
      <c r="B13" s="163">
        <v>0.33</v>
      </c>
      <c r="C13" s="163">
        <v>0.1</v>
      </c>
      <c r="D13" s="163">
        <v>0.33</v>
      </c>
      <c r="E13" s="163">
        <v>0.09</v>
      </c>
      <c r="F13" s="162">
        <v>0.33</v>
      </c>
      <c r="G13" s="162">
        <v>0.1</v>
      </c>
      <c r="H13" s="162">
        <v>0.33</v>
      </c>
      <c r="I13" s="162">
        <v>0.09</v>
      </c>
    </row>
    <row r="14" spans="1:9" x14ac:dyDescent="0.25">
      <c r="A14" s="163">
        <v>95</v>
      </c>
      <c r="B14" s="163">
        <v>0.25</v>
      </c>
      <c r="C14" s="163">
        <v>0.1</v>
      </c>
      <c r="D14" s="163">
        <v>0.25</v>
      </c>
      <c r="E14" s="163">
        <v>0.09</v>
      </c>
      <c r="F14" s="162">
        <v>0.25</v>
      </c>
      <c r="G14" s="162">
        <v>0.1</v>
      </c>
      <c r="H14" s="162">
        <v>0.25</v>
      </c>
      <c r="I14" s="162">
        <v>0.09</v>
      </c>
    </row>
    <row r="15" spans="1:9" x14ac:dyDescent="0.25">
      <c r="A15" s="163">
        <v>120</v>
      </c>
      <c r="B15" s="163">
        <v>0.19</v>
      </c>
      <c r="C15" s="163">
        <v>0.1</v>
      </c>
      <c r="D15" s="163">
        <v>0.19</v>
      </c>
      <c r="E15" s="163">
        <v>0.09</v>
      </c>
      <c r="F15" s="162">
        <v>0.2</v>
      </c>
      <c r="G15" s="162">
        <v>0.1</v>
      </c>
      <c r="H15" s="162">
        <v>0.2</v>
      </c>
      <c r="I15" s="162">
        <v>0.09</v>
      </c>
    </row>
    <row r="16" spans="1:9" x14ac:dyDescent="0.25">
      <c r="A16" s="163">
        <v>150</v>
      </c>
      <c r="B16" s="163">
        <v>0.16</v>
      </c>
      <c r="C16" s="163">
        <v>0.1</v>
      </c>
      <c r="D16" s="163">
        <v>0.16</v>
      </c>
      <c r="E16" s="163">
        <v>0.09</v>
      </c>
      <c r="F16" s="162">
        <v>0.16</v>
      </c>
      <c r="G16" s="162">
        <v>0.1</v>
      </c>
      <c r="H16" s="162">
        <v>0.16</v>
      </c>
      <c r="I16" s="162">
        <v>0.09</v>
      </c>
    </row>
    <row r="17" spans="1:13" x14ac:dyDescent="0.25">
      <c r="A17" s="163">
        <v>185</v>
      </c>
      <c r="B17" s="163">
        <v>0.13</v>
      </c>
      <c r="C17" s="163">
        <v>0.1</v>
      </c>
      <c r="D17" s="163">
        <v>0.13</v>
      </c>
      <c r="E17" s="163">
        <v>0.09</v>
      </c>
      <c r="F17" s="162">
        <v>0.13</v>
      </c>
      <c r="G17" s="162">
        <v>0.1</v>
      </c>
      <c r="H17" s="162">
        <v>0.13</v>
      </c>
      <c r="I17" s="162">
        <v>0.09</v>
      </c>
    </row>
    <row r="18" spans="1:13" x14ac:dyDescent="0.25">
      <c r="A18" s="163">
        <v>240</v>
      </c>
      <c r="B18" s="163">
        <v>0.1</v>
      </c>
      <c r="C18" s="163">
        <v>0.1</v>
      </c>
      <c r="D18" s="163">
        <v>0.1</v>
      </c>
      <c r="E18" s="163">
        <v>0.09</v>
      </c>
      <c r="F18" s="162">
        <v>0.1</v>
      </c>
      <c r="G18" s="162">
        <v>0.1</v>
      </c>
      <c r="H18" s="162">
        <v>0.1</v>
      </c>
      <c r="I18" s="162">
        <v>0.09</v>
      </c>
    </row>
    <row r="19" spans="1:13" x14ac:dyDescent="0.25">
      <c r="A19" s="163">
        <v>300</v>
      </c>
      <c r="B19" s="163">
        <v>0.08</v>
      </c>
      <c r="C19" s="163">
        <v>0.09</v>
      </c>
      <c r="D19" s="163" t="s">
        <v>19</v>
      </c>
      <c r="E19" s="163" t="s">
        <v>19</v>
      </c>
      <c r="F19" s="162">
        <v>0.08</v>
      </c>
      <c r="G19" s="162">
        <v>0.09</v>
      </c>
      <c r="H19" s="162" t="s">
        <v>19</v>
      </c>
      <c r="I19" s="162" t="s">
        <v>19</v>
      </c>
    </row>
    <row r="20" spans="1:13" x14ac:dyDescent="0.25">
      <c r="A20" s="163">
        <v>400</v>
      </c>
      <c r="B20" s="163">
        <v>0.06</v>
      </c>
      <c r="C20" s="163">
        <v>0.09</v>
      </c>
      <c r="D20" s="163" t="s">
        <v>19</v>
      </c>
      <c r="E20" s="163" t="s">
        <v>19</v>
      </c>
      <c r="F20" s="162">
        <v>0.06</v>
      </c>
      <c r="G20" s="162">
        <v>0.09</v>
      </c>
      <c r="H20" s="162" t="s">
        <v>19</v>
      </c>
      <c r="I20" s="162" t="s">
        <v>19</v>
      </c>
    </row>
    <row r="21" spans="1:13" x14ac:dyDescent="0.25">
      <c r="A21" s="163">
        <v>500</v>
      </c>
      <c r="B21" s="163">
        <v>0.05</v>
      </c>
      <c r="C21" s="163">
        <v>0.09</v>
      </c>
      <c r="D21" s="163" t="s">
        <v>19</v>
      </c>
      <c r="E21" s="163" t="s">
        <v>19</v>
      </c>
      <c r="F21" s="162">
        <v>0.05</v>
      </c>
      <c r="G21" s="162">
        <v>0.09</v>
      </c>
      <c r="H21" s="162" t="s">
        <v>19</v>
      </c>
      <c r="I21" s="162" t="s">
        <v>19</v>
      </c>
    </row>
    <row r="22" spans="1:13" x14ac:dyDescent="0.25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</row>
    <row r="24" spans="1:13" ht="17.399999999999999" x14ac:dyDescent="0.25">
      <c r="A24" s="167" t="s">
        <v>357</v>
      </c>
    </row>
    <row r="25" spans="1:13" s="161" customFormat="1" ht="19.2" customHeight="1" x14ac:dyDescent="0.25">
      <c r="A25" s="207" t="s">
        <v>281</v>
      </c>
      <c r="B25" s="207" t="s">
        <v>352</v>
      </c>
      <c r="C25" s="207"/>
      <c r="D25" s="207" t="s">
        <v>85</v>
      </c>
      <c r="E25" s="207"/>
      <c r="F25" s="205" t="s">
        <v>88</v>
      </c>
      <c r="G25" s="207"/>
      <c r="H25" s="205" t="s">
        <v>86</v>
      </c>
      <c r="I25" s="207"/>
    </row>
    <row r="26" spans="1:13" x14ac:dyDescent="0.25">
      <c r="A26" s="207"/>
      <c r="B26" s="168" t="s">
        <v>354</v>
      </c>
      <c r="C26" s="168" t="s">
        <v>355</v>
      </c>
      <c r="D26" s="168" t="s">
        <v>354</v>
      </c>
      <c r="E26" s="168" t="s">
        <v>355</v>
      </c>
      <c r="F26" s="168" t="s">
        <v>354</v>
      </c>
      <c r="G26" s="168" t="s">
        <v>355</v>
      </c>
      <c r="H26" s="168" t="s">
        <v>354</v>
      </c>
      <c r="I26" s="168" t="s">
        <v>355</v>
      </c>
    </row>
    <row r="27" spans="1:13" x14ac:dyDescent="0.25">
      <c r="A27" s="163">
        <v>1.5</v>
      </c>
      <c r="B27" s="163">
        <v>15.4</v>
      </c>
      <c r="C27" s="163">
        <v>0.15</v>
      </c>
      <c r="D27" s="163">
        <v>15.4</v>
      </c>
      <c r="E27" s="163">
        <v>0.12</v>
      </c>
      <c r="F27" s="162">
        <v>15.4</v>
      </c>
      <c r="G27" s="162">
        <v>0.15</v>
      </c>
      <c r="H27" s="162">
        <v>15.4</v>
      </c>
      <c r="I27" s="162">
        <v>0.12</v>
      </c>
    </row>
    <row r="28" spans="1:13" x14ac:dyDescent="0.25">
      <c r="A28" s="163">
        <v>2.5</v>
      </c>
      <c r="B28" s="163">
        <v>9.4499999999999993</v>
      </c>
      <c r="C28" s="163">
        <v>0.14000000000000001</v>
      </c>
      <c r="D28" s="163">
        <v>9.4499999999999993</v>
      </c>
      <c r="E28" s="163">
        <v>0.11</v>
      </c>
      <c r="F28" s="162">
        <v>9.4499999999999993</v>
      </c>
      <c r="G28" s="162">
        <v>0.14000000000000001</v>
      </c>
      <c r="H28" s="162">
        <v>9.4499999999999993</v>
      </c>
      <c r="I28" s="162">
        <v>0.11</v>
      </c>
    </row>
    <row r="29" spans="1:13" x14ac:dyDescent="0.25">
      <c r="A29" s="163">
        <v>4</v>
      </c>
      <c r="B29" s="163">
        <v>5.88</v>
      </c>
      <c r="C29" s="163">
        <v>0.13</v>
      </c>
      <c r="D29" s="163">
        <v>5.88</v>
      </c>
      <c r="E29" s="163">
        <v>0.1</v>
      </c>
      <c r="F29" s="162">
        <v>5.88</v>
      </c>
      <c r="G29" s="162">
        <v>0.13</v>
      </c>
      <c r="H29" s="162">
        <v>5.88</v>
      </c>
      <c r="I29" s="162">
        <v>0.1</v>
      </c>
    </row>
    <row r="30" spans="1:13" x14ac:dyDescent="0.25">
      <c r="A30" s="163">
        <v>6</v>
      </c>
      <c r="B30" s="163">
        <v>3.93</v>
      </c>
      <c r="C30" s="163">
        <v>0.12</v>
      </c>
      <c r="D30" s="163">
        <v>3.93</v>
      </c>
      <c r="E30" s="163">
        <v>0.1</v>
      </c>
      <c r="F30" s="162">
        <v>3.93</v>
      </c>
      <c r="G30" s="162">
        <v>0.12</v>
      </c>
      <c r="H30" s="162">
        <v>3.93</v>
      </c>
      <c r="I30" s="162">
        <v>0.1</v>
      </c>
    </row>
    <row r="31" spans="1:13" x14ac:dyDescent="0.25">
      <c r="A31" s="163">
        <v>10</v>
      </c>
      <c r="B31" s="163">
        <v>2.33</v>
      </c>
      <c r="C31" s="163">
        <v>0.12</v>
      </c>
      <c r="D31" s="163">
        <v>2.33</v>
      </c>
      <c r="E31" s="163">
        <v>0.1</v>
      </c>
      <c r="F31" s="162">
        <v>2.33</v>
      </c>
      <c r="G31" s="162">
        <v>0.12</v>
      </c>
      <c r="H31" s="162">
        <v>2.33</v>
      </c>
      <c r="I31" s="162">
        <v>0.1</v>
      </c>
    </row>
    <row r="32" spans="1:13" x14ac:dyDescent="0.25">
      <c r="A32" s="163">
        <v>16</v>
      </c>
      <c r="B32" s="163">
        <v>1.47</v>
      </c>
      <c r="C32" s="163">
        <v>0.11</v>
      </c>
      <c r="D32" s="163">
        <v>1.47</v>
      </c>
      <c r="E32" s="163">
        <v>0.09</v>
      </c>
      <c r="F32" s="162">
        <v>1.47</v>
      </c>
      <c r="G32" s="162">
        <v>0.11</v>
      </c>
      <c r="H32" s="162">
        <v>1.47</v>
      </c>
      <c r="I32" s="162">
        <v>0.09</v>
      </c>
    </row>
    <row r="33" spans="1:13" x14ac:dyDescent="0.25">
      <c r="A33" s="163">
        <v>25</v>
      </c>
      <c r="B33" s="163">
        <v>0.93</v>
      </c>
      <c r="C33" s="163">
        <v>0.11</v>
      </c>
      <c r="D33" s="163">
        <v>0.93</v>
      </c>
      <c r="E33" s="163">
        <v>0.09</v>
      </c>
      <c r="F33" s="162">
        <v>0.93</v>
      </c>
      <c r="G33" s="162">
        <v>0.11</v>
      </c>
      <c r="H33" s="162">
        <v>0.93</v>
      </c>
      <c r="I33" s="162">
        <v>0.09</v>
      </c>
    </row>
    <row r="34" spans="1:13" x14ac:dyDescent="0.25">
      <c r="A34" s="163">
        <v>35</v>
      </c>
      <c r="B34" s="163">
        <v>0.67</v>
      </c>
      <c r="C34" s="163">
        <v>0.11</v>
      </c>
      <c r="D34" s="163">
        <v>0.67</v>
      </c>
      <c r="E34" s="163">
        <v>0.09</v>
      </c>
      <c r="F34" s="162">
        <v>0.67</v>
      </c>
      <c r="G34" s="162">
        <v>0.11</v>
      </c>
      <c r="H34" s="162">
        <v>0.67</v>
      </c>
      <c r="I34" s="162">
        <v>0.09</v>
      </c>
    </row>
    <row r="35" spans="1:13" x14ac:dyDescent="0.25">
      <c r="A35" s="163">
        <v>50</v>
      </c>
      <c r="B35" s="163">
        <v>0.49</v>
      </c>
      <c r="C35" s="163">
        <v>0.1</v>
      </c>
      <c r="D35" s="163">
        <v>0.49</v>
      </c>
      <c r="E35" s="163">
        <v>0.09</v>
      </c>
      <c r="F35" s="162">
        <v>0.49</v>
      </c>
      <c r="G35" s="162">
        <v>0.1</v>
      </c>
      <c r="H35" s="162">
        <v>0.49</v>
      </c>
      <c r="I35" s="162">
        <v>0.09</v>
      </c>
    </row>
    <row r="36" spans="1:13" x14ac:dyDescent="0.25">
      <c r="A36" s="163">
        <v>70</v>
      </c>
      <c r="B36" s="163">
        <v>0.34</v>
      </c>
      <c r="C36" s="163">
        <v>0.1</v>
      </c>
      <c r="D36" s="163">
        <v>0.34</v>
      </c>
      <c r="E36" s="163">
        <v>0.09</v>
      </c>
      <c r="F36" s="162">
        <v>0.34</v>
      </c>
      <c r="G36" s="162">
        <v>0.1</v>
      </c>
      <c r="H36" s="162">
        <v>0.34</v>
      </c>
      <c r="I36" s="162">
        <v>0.09</v>
      </c>
    </row>
    <row r="37" spans="1:13" x14ac:dyDescent="0.25">
      <c r="A37" s="163">
        <v>95</v>
      </c>
      <c r="B37" s="163">
        <v>0.25</v>
      </c>
      <c r="C37" s="163">
        <v>0.1</v>
      </c>
      <c r="D37" s="163">
        <v>0.25</v>
      </c>
      <c r="E37" s="163">
        <v>0.08</v>
      </c>
      <c r="F37" s="162">
        <v>0.25</v>
      </c>
      <c r="G37" s="162">
        <v>0.1</v>
      </c>
      <c r="H37" s="162">
        <v>0.25</v>
      </c>
      <c r="I37" s="162">
        <v>0.08</v>
      </c>
    </row>
    <row r="38" spans="1:13" x14ac:dyDescent="0.25">
      <c r="A38" s="163">
        <v>120</v>
      </c>
      <c r="B38" s="163">
        <v>0.2</v>
      </c>
      <c r="C38" s="163">
        <v>0.1</v>
      </c>
      <c r="D38" s="163">
        <v>0.2</v>
      </c>
      <c r="E38" s="163">
        <v>0.08</v>
      </c>
      <c r="F38" s="162">
        <v>0.2</v>
      </c>
      <c r="G38" s="162">
        <v>0.1</v>
      </c>
      <c r="H38" s="162">
        <v>0.2</v>
      </c>
      <c r="I38" s="162">
        <v>0.08</v>
      </c>
    </row>
    <row r="39" spans="1:13" x14ac:dyDescent="0.25">
      <c r="A39" s="163">
        <v>150</v>
      </c>
      <c r="B39" s="163">
        <v>0.16</v>
      </c>
      <c r="C39" s="163">
        <v>0.1</v>
      </c>
      <c r="D39" s="163">
        <v>0.16</v>
      </c>
      <c r="E39" s="163">
        <v>0.08</v>
      </c>
      <c r="F39" s="162">
        <v>0.16</v>
      </c>
      <c r="G39" s="162">
        <v>0.1</v>
      </c>
      <c r="H39" s="162">
        <v>0.16</v>
      </c>
      <c r="I39" s="162">
        <v>0.08</v>
      </c>
    </row>
    <row r="40" spans="1:13" x14ac:dyDescent="0.25">
      <c r="A40" s="163">
        <v>185</v>
      </c>
      <c r="B40" s="163">
        <v>0.13</v>
      </c>
      <c r="C40" s="163">
        <v>0.1</v>
      </c>
      <c r="D40" s="163">
        <v>0.13</v>
      </c>
      <c r="E40" s="163">
        <v>0.09</v>
      </c>
      <c r="F40" s="162">
        <v>0.13</v>
      </c>
      <c r="G40" s="162">
        <v>0.1</v>
      </c>
      <c r="H40" s="162">
        <v>0.13</v>
      </c>
      <c r="I40" s="162">
        <v>0.09</v>
      </c>
    </row>
    <row r="41" spans="1:13" x14ac:dyDescent="0.25">
      <c r="A41" s="163">
        <v>240</v>
      </c>
      <c r="B41" s="163">
        <v>0.1</v>
      </c>
      <c r="C41" s="163">
        <v>0.09</v>
      </c>
      <c r="D41" s="163">
        <v>0.1</v>
      </c>
      <c r="E41" s="163">
        <v>0.08</v>
      </c>
      <c r="F41" s="162">
        <v>0.1</v>
      </c>
      <c r="G41" s="162">
        <v>0.09</v>
      </c>
      <c r="H41" s="162">
        <v>0.1</v>
      </c>
      <c r="I41" s="162">
        <v>0.08</v>
      </c>
    </row>
    <row r="42" spans="1:13" x14ac:dyDescent="0.25">
      <c r="A42" s="163">
        <v>300</v>
      </c>
      <c r="B42" s="163">
        <v>0.08</v>
      </c>
      <c r="C42" s="163">
        <v>0.09</v>
      </c>
      <c r="D42" s="163" t="s">
        <v>19</v>
      </c>
      <c r="E42" s="163" t="s">
        <v>19</v>
      </c>
      <c r="F42" s="162">
        <v>0.08</v>
      </c>
      <c r="G42" s="162">
        <v>0.09</v>
      </c>
      <c r="H42" s="162" t="s">
        <v>19</v>
      </c>
      <c r="I42" s="162" t="s">
        <v>19</v>
      </c>
    </row>
    <row r="43" spans="1:13" x14ac:dyDescent="0.25">
      <c r="A43" s="163">
        <v>400</v>
      </c>
      <c r="B43" s="163">
        <v>7.0000000000000007E-2</v>
      </c>
      <c r="C43" s="163">
        <v>0.09</v>
      </c>
      <c r="D43" s="163" t="s">
        <v>19</v>
      </c>
      <c r="E43" s="163" t="s">
        <v>19</v>
      </c>
      <c r="F43" s="162">
        <v>7.0000000000000007E-2</v>
      </c>
      <c r="G43" s="162">
        <v>0.09</v>
      </c>
      <c r="H43" s="162" t="s">
        <v>19</v>
      </c>
      <c r="I43" s="162" t="s">
        <v>19</v>
      </c>
    </row>
    <row r="44" spans="1:13" x14ac:dyDescent="0.25">
      <c r="A44" s="163">
        <v>500</v>
      </c>
      <c r="B44" s="163">
        <v>0.05</v>
      </c>
      <c r="C44" s="163">
        <v>0.09</v>
      </c>
      <c r="D44" s="163" t="s">
        <v>19</v>
      </c>
      <c r="E44" s="163" t="s">
        <v>19</v>
      </c>
      <c r="F44" s="162">
        <v>0.05</v>
      </c>
      <c r="G44" s="162">
        <v>0.09</v>
      </c>
      <c r="H44" s="162" t="s">
        <v>19</v>
      </c>
      <c r="I44" s="162" t="s">
        <v>19</v>
      </c>
    </row>
    <row r="45" spans="1:13" x14ac:dyDescent="0.25">
      <c r="A45" s="163"/>
      <c r="B45" s="163"/>
      <c r="C45" s="163"/>
      <c r="D45" s="163"/>
      <c r="E45" s="163"/>
      <c r="F45" s="163"/>
      <c r="G45" s="163"/>
    </row>
    <row r="46" spans="1:13" x14ac:dyDescent="0.25">
      <c r="A46" s="112" t="s">
        <v>353</v>
      </c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</row>
    <row r="48" spans="1:13" ht="17.399999999999999" x14ac:dyDescent="0.25">
      <c r="A48" s="164" t="s">
        <v>284</v>
      </c>
    </row>
    <row r="50" spans="1:5" ht="79.2" x14ac:dyDescent="0.25">
      <c r="A50" s="161" t="s">
        <v>285</v>
      </c>
      <c r="B50" s="161" t="s">
        <v>286</v>
      </c>
      <c r="C50" s="161" t="s">
        <v>287</v>
      </c>
      <c r="D50" s="161" t="s">
        <v>241</v>
      </c>
      <c r="E50" s="161" t="s">
        <v>288</v>
      </c>
    </row>
    <row r="51" spans="1:5" ht="66" x14ac:dyDescent="0.25">
      <c r="A51" s="163"/>
      <c r="B51" s="163" t="s">
        <v>289</v>
      </c>
      <c r="C51" s="163" t="s">
        <v>290</v>
      </c>
      <c r="D51" s="163" t="s">
        <v>289</v>
      </c>
      <c r="E51" s="163" t="s">
        <v>291</v>
      </c>
    </row>
    <row r="53" spans="1:5" x14ac:dyDescent="0.25">
      <c r="A53" s="162" t="s">
        <v>292</v>
      </c>
    </row>
    <row r="55" spans="1:5" ht="17.399999999999999" x14ac:dyDescent="0.25">
      <c r="A55" s="164" t="s">
        <v>293</v>
      </c>
    </row>
    <row r="57" spans="1:5" ht="26.4" x14ac:dyDescent="0.25">
      <c r="A57" s="161" t="s">
        <v>294</v>
      </c>
      <c r="B57" s="161" t="s">
        <v>295</v>
      </c>
      <c r="C57" s="161" t="s">
        <v>296</v>
      </c>
      <c r="D57" s="161" t="s">
        <v>297</v>
      </c>
      <c r="E57" s="161" t="s">
        <v>298</v>
      </c>
    </row>
    <row r="58" spans="1:5" x14ac:dyDescent="0.25">
      <c r="A58" s="163" t="s">
        <v>256</v>
      </c>
      <c r="B58" s="163">
        <v>143</v>
      </c>
      <c r="C58" s="163">
        <v>133</v>
      </c>
      <c r="D58" s="163" t="s">
        <v>299</v>
      </c>
      <c r="E58" s="163">
        <v>143</v>
      </c>
    </row>
    <row r="59" spans="1:5" x14ac:dyDescent="0.25">
      <c r="A59" s="163" t="s">
        <v>257</v>
      </c>
      <c r="B59" s="163">
        <v>95</v>
      </c>
      <c r="C59" s="163">
        <v>88</v>
      </c>
      <c r="D59" s="163">
        <v>116</v>
      </c>
      <c r="E59" s="163">
        <v>95</v>
      </c>
    </row>
    <row r="60" spans="1:5" x14ac:dyDescent="0.25">
      <c r="A60" s="163" t="s">
        <v>300</v>
      </c>
      <c r="B60" s="163">
        <v>52</v>
      </c>
      <c r="C60" s="163">
        <v>49</v>
      </c>
      <c r="D60" s="163">
        <v>64</v>
      </c>
      <c r="E60" s="163">
        <v>52</v>
      </c>
    </row>
    <row r="62" spans="1:5" x14ac:dyDescent="0.25">
      <c r="A62" s="162" t="s">
        <v>301</v>
      </c>
    </row>
    <row r="64" spans="1:5" ht="17.399999999999999" x14ac:dyDescent="0.25">
      <c r="A64" s="164" t="s">
        <v>302</v>
      </c>
    </row>
    <row r="66" spans="1:5" ht="39.6" x14ac:dyDescent="0.25">
      <c r="A66" s="161" t="s">
        <v>294</v>
      </c>
      <c r="B66" s="161" t="s">
        <v>303</v>
      </c>
      <c r="C66" s="161" t="s">
        <v>304</v>
      </c>
      <c r="D66" s="161" t="s">
        <v>305</v>
      </c>
    </row>
    <row r="67" spans="1:5" x14ac:dyDescent="0.25">
      <c r="A67" s="163" t="s">
        <v>256</v>
      </c>
      <c r="B67" s="163" t="s">
        <v>306</v>
      </c>
      <c r="C67" s="163">
        <v>138</v>
      </c>
      <c r="D67" s="163" t="s">
        <v>307</v>
      </c>
    </row>
    <row r="68" spans="1:5" x14ac:dyDescent="0.25">
      <c r="A68" s="163" t="s">
        <v>257</v>
      </c>
      <c r="B68" s="163">
        <v>105</v>
      </c>
      <c r="C68" s="163">
        <v>91</v>
      </c>
      <c r="D68" s="163">
        <v>100</v>
      </c>
    </row>
    <row r="69" spans="1:5" x14ac:dyDescent="0.25">
      <c r="A69" s="163" t="s">
        <v>300</v>
      </c>
      <c r="B69" s="163">
        <v>58</v>
      </c>
      <c r="C69" s="163">
        <v>50</v>
      </c>
      <c r="D69" s="163">
        <v>55</v>
      </c>
    </row>
    <row r="71" spans="1:5" x14ac:dyDescent="0.25">
      <c r="A71" s="162" t="s">
        <v>308</v>
      </c>
    </row>
    <row r="73" spans="1:5" ht="17.399999999999999" x14ac:dyDescent="0.25">
      <c r="A73" s="164" t="s">
        <v>309</v>
      </c>
    </row>
    <row r="75" spans="1:5" ht="26.4" x14ac:dyDescent="0.25">
      <c r="A75" s="161" t="s">
        <v>294</v>
      </c>
      <c r="B75" s="161" t="s">
        <v>310</v>
      </c>
      <c r="C75" s="161" t="s">
        <v>311</v>
      </c>
      <c r="D75" s="161" t="s">
        <v>312</v>
      </c>
      <c r="E75" s="161" t="s">
        <v>242</v>
      </c>
    </row>
    <row r="76" spans="1:5" x14ac:dyDescent="0.25">
      <c r="A76" s="163" t="s">
        <v>256</v>
      </c>
      <c r="B76" s="163">
        <v>115</v>
      </c>
      <c r="C76" s="163">
        <v>103</v>
      </c>
      <c r="D76" s="163" t="s">
        <v>313</v>
      </c>
      <c r="E76" s="163">
        <v>115</v>
      </c>
    </row>
    <row r="77" spans="1:5" x14ac:dyDescent="0.25">
      <c r="A77" s="163" t="s">
        <v>257</v>
      </c>
      <c r="B77" s="163">
        <v>76</v>
      </c>
      <c r="C77" s="163">
        <v>68</v>
      </c>
      <c r="D77" s="163">
        <v>94</v>
      </c>
      <c r="E77" s="163">
        <v>76</v>
      </c>
    </row>
    <row r="78" spans="1:5" x14ac:dyDescent="0.25">
      <c r="A78" s="163" t="s">
        <v>300</v>
      </c>
      <c r="B78" s="163">
        <v>42</v>
      </c>
      <c r="C78" s="163">
        <v>37</v>
      </c>
      <c r="D78" s="163">
        <v>52</v>
      </c>
      <c r="E78" s="163">
        <v>42</v>
      </c>
    </row>
    <row r="80" spans="1:5" x14ac:dyDescent="0.25">
      <c r="A80" s="162" t="s">
        <v>314</v>
      </c>
    </row>
    <row r="82" spans="1:8" ht="17.399999999999999" x14ac:dyDescent="0.25">
      <c r="A82" s="164" t="s">
        <v>315</v>
      </c>
    </row>
    <row r="84" spans="1:8" ht="26.4" x14ac:dyDescent="0.25">
      <c r="A84" s="161" t="s">
        <v>294</v>
      </c>
      <c r="B84" s="161" t="s">
        <v>316</v>
      </c>
      <c r="C84" s="161" t="s">
        <v>297</v>
      </c>
    </row>
    <row r="85" spans="1:8" x14ac:dyDescent="0.25">
      <c r="A85" s="163" t="s">
        <v>256</v>
      </c>
      <c r="B85" s="163" t="s">
        <v>317</v>
      </c>
      <c r="C85" s="163" t="s">
        <v>318</v>
      </c>
    </row>
    <row r="86" spans="1:8" x14ac:dyDescent="0.25">
      <c r="A86" s="163" t="s">
        <v>257</v>
      </c>
      <c r="B86" s="163">
        <v>93</v>
      </c>
      <c r="C86" s="163">
        <v>85</v>
      </c>
    </row>
    <row r="87" spans="1:8" x14ac:dyDescent="0.25">
      <c r="A87" s="163" t="s">
        <v>319</v>
      </c>
      <c r="B87" s="163">
        <v>26</v>
      </c>
      <c r="C87" s="163">
        <v>23</v>
      </c>
    </row>
    <row r="88" spans="1:8" x14ac:dyDescent="0.25">
      <c r="A88" s="163" t="s">
        <v>300</v>
      </c>
      <c r="B88" s="163">
        <v>51</v>
      </c>
      <c r="C88" s="163">
        <v>46</v>
      </c>
    </row>
    <row r="90" spans="1:8" x14ac:dyDescent="0.25">
      <c r="A90" s="162" t="s">
        <v>320</v>
      </c>
    </row>
    <row r="92" spans="1:8" ht="17.399999999999999" x14ac:dyDescent="0.25">
      <c r="A92" s="164" t="s">
        <v>321</v>
      </c>
    </row>
    <row r="94" spans="1:8" ht="66" x14ac:dyDescent="0.25">
      <c r="A94" s="161" t="s">
        <v>322</v>
      </c>
      <c r="B94" s="161" t="s">
        <v>323</v>
      </c>
      <c r="C94" s="161" t="s">
        <v>324</v>
      </c>
      <c r="D94" s="161" t="s">
        <v>325</v>
      </c>
      <c r="E94" s="161" t="s">
        <v>326</v>
      </c>
      <c r="F94" s="161" t="s">
        <v>327</v>
      </c>
      <c r="G94" s="161" t="s">
        <v>328</v>
      </c>
      <c r="H94" s="161" t="s">
        <v>329</v>
      </c>
    </row>
    <row r="95" spans="1:8" ht="26.4" x14ac:dyDescent="0.25">
      <c r="A95" s="163" t="s">
        <v>330</v>
      </c>
      <c r="B95" s="163">
        <v>30</v>
      </c>
      <c r="C95" s="163" t="s">
        <v>331</v>
      </c>
      <c r="D95" s="163">
        <v>500</v>
      </c>
      <c r="E95" s="163">
        <v>125</v>
      </c>
      <c r="F95" s="163">
        <v>300</v>
      </c>
      <c r="G95" s="163">
        <v>82</v>
      </c>
      <c r="H95" s="163">
        <v>500</v>
      </c>
    </row>
    <row r="96" spans="1:8" ht="26.4" x14ac:dyDescent="0.25">
      <c r="A96" s="163" t="s">
        <v>332</v>
      </c>
      <c r="B96" s="163">
        <v>30</v>
      </c>
      <c r="C96" s="163" t="s">
        <v>306</v>
      </c>
      <c r="D96" s="163">
        <v>200</v>
      </c>
      <c r="E96" s="163">
        <v>105</v>
      </c>
      <c r="F96" s="163">
        <v>200</v>
      </c>
      <c r="G96" s="163">
        <v>58</v>
      </c>
      <c r="H96" s="163">
        <v>200</v>
      </c>
    </row>
    <row r="97" spans="1:8" ht="26.4" x14ac:dyDescent="0.25">
      <c r="A97" s="163" t="s">
        <v>333</v>
      </c>
      <c r="B97" s="163">
        <v>30</v>
      </c>
      <c r="C97" s="163">
        <v>138</v>
      </c>
      <c r="D97" s="163">
        <v>150</v>
      </c>
      <c r="E97" s="163">
        <v>91</v>
      </c>
      <c r="F97" s="163">
        <v>150</v>
      </c>
      <c r="G97" s="163">
        <v>50</v>
      </c>
      <c r="H97" s="163">
        <v>150</v>
      </c>
    </row>
    <row r="99" spans="1:8" x14ac:dyDescent="0.25">
      <c r="A99" s="162" t="s">
        <v>334</v>
      </c>
    </row>
    <row r="101" spans="1:8" ht="17.399999999999999" x14ac:dyDescent="0.25">
      <c r="A101" s="164" t="s">
        <v>335</v>
      </c>
    </row>
    <row r="103" spans="1:8" ht="26.4" x14ac:dyDescent="0.25">
      <c r="A103" s="161" t="s">
        <v>236</v>
      </c>
      <c r="B103" s="161" t="s">
        <v>336</v>
      </c>
      <c r="C103" s="161" t="s">
        <v>337</v>
      </c>
    </row>
    <row r="104" spans="1:8" x14ac:dyDescent="0.25">
      <c r="A104" s="163" t="s">
        <v>338</v>
      </c>
      <c r="B104" s="163">
        <v>70</v>
      </c>
      <c r="C104" s="163">
        <v>100</v>
      </c>
    </row>
    <row r="105" spans="1:8" x14ac:dyDescent="0.25">
      <c r="A105" s="163" t="s">
        <v>339</v>
      </c>
      <c r="B105" s="163">
        <v>90</v>
      </c>
      <c r="C105" s="163">
        <v>130</v>
      </c>
    </row>
  </sheetData>
  <mergeCells count="10">
    <mergeCell ref="H2:I2"/>
    <mergeCell ref="B25:C25"/>
    <mergeCell ref="D25:E25"/>
    <mergeCell ref="F25:G25"/>
    <mergeCell ref="H25:I25"/>
    <mergeCell ref="A2:A3"/>
    <mergeCell ref="A25:A26"/>
    <mergeCell ref="B2:C2"/>
    <mergeCell ref="D2:E2"/>
    <mergeCell ref="F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2E3B-D89E-4541-9DFE-3DEA47F154CE}">
  <dimension ref="A1:K45"/>
  <sheetViews>
    <sheetView workbookViewId="0">
      <selection activeCell="A29" sqref="A29:XFD29"/>
    </sheetView>
  </sheetViews>
  <sheetFormatPr defaultRowHeight="13.2" x14ac:dyDescent="0.25"/>
  <cols>
    <col min="1" max="16" width="13.77734375" style="162" customWidth="1"/>
    <col min="17" max="22" width="15.77734375" style="162" customWidth="1"/>
    <col min="23" max="16384" width="8.88671875" style="162"/>
  </cols>
  <sheetData>
    <row r="1" spans="1:11" ht="17.399999999999999" x14ac:dyDescent="0.25">
      <c r="A1" s="167" t="s">
        <v>283</v>
      </c>
    </row>
    <row r="2" spans="1:11" s="161" customFormat="1" ht="19.2" customHeight="1" x14ac:dyDescent="0.25">
      <c r="A2" s="207" t="s">
        <v>281</v>
      </c>
      <c r="B2" s="208" t="s">
        <v>352</v>
      </c>
      <c r="C2" s="208"/>
      <c r="D2" s="208" t="s">
        <v>85</v>
      </c>
      <c r="E2" s="208"/>
      <c r="F2" s="206" t="s">
        <v>88</v>
      </c>
      <c r="G2" s="206"/>
      <c r="H2" s="206" t="s">
        <v>86</v>
      </c>
      <c r="I2" s="208"/>
    </row>
    <row r="3" spans="1:11" s="161" customFormat="1" ht="19.2" customHeight="1" x14ac:dyDescent="0.25">
      <c r="A3" s="207"/>
      <c r="B3" s="166" t="s">
        <v>61</v>
      </c>
      <c r="C3" s="166" t="s">
        <v>62</v>
      </c>
      <c r="D3" s="166" t="s">
        <v>61</v>
      </c>
      <c r="E3" s="166" t="s">
        <v>62</v>
      </c>
      <c r="F3" s="166" t="s">
        <v>61</v>
      </c>
      <c r="G3" s="166" t="s">
        <v>62</v>
      </c>
      <c r="H3" s="166" t="s">
        <v>61</v>
      </c>
      <c r="I3" s="166" t="s">
        <v>62</v>
      </c>
    </row>
    <row r="4" spans="1:11" s="72" customFormat="1" x14ac:dyDescent="0.25">
      <c r="A4" s="207"/>
      <c r="B4" s="168" t="s">
        <v>358</v>
      </c>
      <c r="C4" s="168" t="s">
        <v>358</v>
      </c>
      <c r="D4" s="168" t="s">
        <v>358</v>
      </c>
      <c r="E4" s="168" t="s">
        <v>358</v>
      </c>
      <c r="F4" s="168" t="s">
        <v>358</v>
      </c>
      <c r="G4" s="168" t="s">
        <v>358</v>
      </c>
      <c r="H4" s="168" t="s">
        <v>358</v>
      </c>
      <c r="I4" s="168" t="s">
        <v>358</v>
      </c>
      <c r="J4" s="162"/>
      <c r="K4" s="162"/>
    </row>
    <row r="5" spans="1:11" x14ac:dyDescent="0.25">
      <c r="A5" s="163">
        <v>1.5</v>
      </c>
      <c r="B5" s="163">
        <v>27.38</v>
      </c>
      <c r="C5" s="163">
        <v>32.4</v>
      </c>
      <c r="D5" s="163">
        <v>27.34</v>
      </c>
      <c r="E5" s="163">
        <v>32.369999999999997</v>
      </c>
      <c r="F5" s="162">
        <v>23.69</v>
      </c>
      <c r="G5" s="162">
        <v>28.02</v>
      </c>
      <c r="H5" s="162">
        <v>23.65</v>
      </c>
      <c r="I5" s="162">
        <v>28</v>
      </c>
    </row>
    <row r="6" spans="1:11" x14ac:dyDescent="0.25">
      <c r="A6" s="163">
        <v>2.5</v>
      </c>
      <c r="B6" s="163">
        <v>16.46</v>
      </c>
      <c r="C6" s="163">
        <v>19.43</v>
      </c>
      <c r="D6" s="163">
        <v>16.420000000000002</v>
      </c>
      <c r="E6" s="163">
        <v>19.41</v>
      </c>
      <c r="F6" s="162">
        <v>14.27</v>
      </c>
      <c r="G6" s="162">
        <v>16.84</v>
      </c>
      <c r="H6" s="162">
        <v>14.23</v>
      </c>
      <c r="I6" s="162">
        <v>16.82</v>
      </c>
    </row>
    <row r="7" spans="1:11" x14ac:dyDescent="0.25">
      <c r="A7" s="163">
        <v>4</v>
      </c>
      <c r="B7" s="163">
        <v>10.26</v>
      </c>
      <c r="C7" s="163">
        <v>12.07</v>
      </c>
      <c r="D7" s="163">
        <v>10.220000000000001</v>
      </c>
      <c r="E7" s="163">
        <v>12.05</v>
      </c>
      <c r="F7" s="162">
        <v>8.8699999999999992</v>
      </c>
      <c r="G7" s="162">
        <v>10.44</v>
      </c>
      <c r="H7" s="162">
        <v>8.84</v>
      </c>
      <c r="I7" s="162">
        <v>10.43</v>
      </c>
    </row>
    <row r="8" spans="1:11" x14ac:dyDescent="0.25">
      <c r="A8" s="163">
        <v>6</v>
      </c>
      <c r="B8" s="163">
        <v>6.89</v>
      </c>
      <c r="C8" s="163">
        <v>8.08</v>
      </c>
      <c r="D8" s="163">
        <v>6.86</v>
      </c>
      <c r="E8" s="163">
        <v>8.06</v>
      </c>
      <c r="F8" s="162">
        <v>5.96</v>
      </c>
      <c r="G8" s="162">
        <v>6.99</v>
      </c>
      <c r="H8" s="162">
        <v>5.93</v>
      </c>
      <c r="I8" s="162">
        <v>6.97</v>
      </c>
    </row>
    <row r="9" spans="1:11" x14ac:dyDescent="0.25">
      <c r="A9" s="163">
        <v>10</v>
      </c>
      <c r="B9" s="163">
        <v>4.05</v>
      </c>
      <c r="C9" s="163">
        <v>4.71</v>
      </c>
      <c r="D9" s="163">
        <v>4.0199999999999996</v>
      </c>
      <c r="E9" s="163">
        <v>4.7</v>
      </c>
      <c r="F9" s="162">
        <v>3.5</v>
      </c>
      <c r="G9" s="162">
        <v>4.08</v>
      </c>
      <c r="H9" s="162">
        <v>3.48</v>
      </c>
      <c r="I9" s="162">
        <v>4.0599999999999996</v>
      </c>
    </row>
    <row r="10" spans="1:11" x14ac:dyDescent="0.25">
      <c r="A10" s="163">
        <v>16</v>
      </c>
      <c r="B10" s="163">
        <v>2.6</v>
      </c>
      <c r="C10" s="163">
        <v>3</v>
      </c>
      <c r="D10" s="163">
        <v>2.57</v>
      </c>
      <c r="E10" s="163">
        <v>2.98</v>
      </c>
      <c r="F10" s="162">
        <v>2.25</v>
      </c>
      <c r="G10" s="162">
        <v>2.59</v>
      </c>
      <c r="H10" s="162">
        <v>2.23</v>
      </c>
      <c r="I10" s="162">
        <v>2.58</v>
      </c>
    </row>
    <row r="11" spans="1:11" x14ac:dyDescent="0.25">
      <c r="A11" s="163">
        <v>25</v>
      </c>
      <c r="B11" s="163">
        <v>1.72</v>
      </c>
      <c r="C11" s="163">
        <v>1.96</v>
      </c>
      <c r="D11" s="163">
        <v>1.7</v>
      </c>
      <c r="E11" s="163">
        <v>1.95</v>
      </c>
      <c r="F11" s="162">
        <v>1.49</v>
      </c>
      <c r="G11" s="162">
        <v>1.69</v>
      </c>
      <c r="H11" s="162">
        <v>1.47</v>
      </c>
      <c r="I11" s="162">
        <v>1.68</v>
      </c>
    </row>
    <row r="12" spans="1:11" x14ac:dyDescent="0.25">
      <c r="A12" s="163">
        <v>35</v>
      </c>
      <c r="B12" s="163">
        <v>1.26</v>
      </c>
      <c r="C12" s="163">
        <v>1.41</v>
      </c>
      <c r="D12" s="163">
        <v>1.24</v>
      </c>
      <c r="E12" s="163">
        <v>1.4</v>
      </c>
      <c r="F12" s="162">
        <v>1.0900000000000001</v>
      </c>
      <c r="G12" s="162">
        <v>1.22</v>
      </c>
      <c r="H12" s="162">
        <v>1.07</v>
      </c>
      <c r="I12" s="162">
        <v>1.21</v>
      </c>
    </row>
    <row r="13" spans="1:11" x14ac:dyDescent="0.25">
      <c r="A13" s="163">
        <v>50</v>
      </c>
      <c r="B13" s="163">
        <v>0.91</v>
      </c>
      <c r="C13" s="163">
        <v>1</v>
      </c>
      <c r="D13" s="163">
        <v>0.89</v>
      </c>
      <c r="E13" s="163">
        <v>0.99</v>
      </c>
      <c r="F13" s="162">
        <v>0.79</v>
      </c>
      <c r="G13" s="162">
        <v>0.87</v>
      </c>
      <c r="H13" s="162">
        <v>0.77</v>
      </c>
      <c r="I13" s="162">
        <v>0.86</v>
      </c>
    </row>
    <row r="14" spans="1:11" x14ac:dyDescent="0.25">
      <c r="A14" s="163">
        <v>70</v>
      </c>
      <c r="B14" s="163">
        <v>0.68</v>
      </c>
      <c r="C14" s="163">
        <v>0.72</v>
      </c>
      <c r="D14" s="163">
        <v>0.66</v>
      </c>
      <c r="E14" s="163">
        <v>0.72</v>
      </c>
      <c r="F14" s="162">
        <v>0.59</v>
      </c>
      <c r="G14" s="162">
        <v>0.63</v>
      </c>
      <c r="H14" s="162">
        <v>0.56999999999999995</v>
      </c>
      <c r="I14" s="162">
        <v>0.62</v>
      </c>
    </row>
    <row r="15" spans="1:11" x14ac:dyDescent="0.25">
      <c r="A15" s="163">
        <v>95</v>
      </c>
      <c r="B15" s="163">
        <v>0.54</v>
      </c>
      <c r="C15" s="163">
        <v>0.56000000000000005</v>
      </c>
      <c r="D15" s="163">
        <v>0.52</v>
      </c>
      <c r="E15" s="163">
        <v>0.55000000000000004</v>
      </c>
      <c r="F15" s="162">
        <v>0.47</v>
      </c>
      <c r="G15" s="162">
        <v>0.49</v>
      </c>
      <c r="H15" s="162">
        <v>0.45</v>
      </c>
      <c r="I15" s="162">
        <v>0.48</v>
      </c>
    </row>
    <row r="16" spans="1:11" x14ac:dyDescent="0.25">
      <c r="A16" s="163">
        <v>120</v>
      </c>
      <c r="B16" s="163">
        <v>0.45</v>
      </c>
      <c r="C16" s="163">
        <v>0.45</v>
      </c>
      <c r="D16" s="163">
        <v>0.43</v>
      </c>
      <c r="E16" s="163">
        <v>0.45</v>
      </c>
      <c r="F16" s="162">
        <v>0.39</v>
      </c>
      <c r="G16" s="162">
        <v>0.39</v>
      </c>
      <c r="H16" s="162">
        <v>0.38</v>
      </c>
      <c r="I16" s="162">
        <v>0.39</v>
      </c>
    </row>
    <row r="17" spans="1:11" x14ac:dyDescent="0.25">
      <c r="A17" s="163">
        <v>150</v>
      </c>
      <c r="B17" s="163">
        <v>0.38</v>
      </c>
      <c r="C17" s="163">
        <v>0.38</v>
      </c>
      <c r="D17" s="163">
        <v>0.37</v>
      </c>
      <c r="E17" s="163">
        <v>0.37</v>
      </c>
      <c r="F17" s="162">
        <v>0.33</v>
      </c>
      <c r="G17" s="162">
        <v>0.33</v>
      </c>
      <c r="H17" s="162">
        <v>0.32</v>
      </c>
      <c r="I17" s="162">
        <v>0.32</v>
      </c>
    </row>
    <row r="18" spans="1:11" x14ac:dyDescent="0.25">
      <c r="A18" s="163">
        <v>185</v>
      </c>
      <c r="B18" s="163">
        <v>0.33</v>
      </c>
      <c r="C18" s="163">
        <v>0.32</v>
      </c>
      <c r="D18" s="163">
        <v>0.32</v>
      </c>
      <c r="E18" s="163">
        <v>0.32</v>
      </c>
      <c r="F18" s="162">
        <v>0.28999999999999998</v>
      </c>
      <c r="G18" s="162">
        <v>0.28000000000000003</v>
      </c>
      <c r="H18" s="162">
        <v>0.28000000000000003</v>
      </c>
      <c r="I18" s="162">
        <v>0.27</v>
      </c>
    </row>
    <row r="19" spans="1:11" x14ac:dyDescent="0.25">
      <c r="A19" s="163">
        <v>240</v>
      </c>
      <c r="B19" s="163">
        <v>0.28000000000000003</v>
      </c>
      <c r="C19" s="163">
        <v>0.26</v>
      </c>
      <c r="D19" s="163">
        <v>0.27</v>
      </c>
      <c r="E19" s="163">
        <v>0.25</v>
      </c>
      <c r="F19" s="163">
        <v>0.24</v>
      </c>
      <c r="G19" s="162">
        <v>0.22</v>
      </c>
      <c r="H19" s="162">
        <v>0.24</v>
      </c>
      <c r="I19" s="162">
        <v>0.22</v>
      </c>
    </row>
    <row r="20" spans="1:11" x14ac:dyDescent="0.25">
      <c r="A20" s="163">
        <v>300</v>
      </c>
      <c r="B20" s="163">
        <v>0.25</v>
      </c>
      <c r="C20" s="163">
        <v>0.22</v>
      </c>
      <c r="D20" s="163">
        <v>0.24</v>
      </c>
      <c r="E20" s="163">
        <v>0.22</v>
      </c>
      <c r="F20" s="162">
        <v>0.22</v>
      </c>
      <c r="G20" s="162">
        <v>0.19</v>
      </c>
      <c r="H20" s="162">
        <v>0.21</v>
      </c>
      <c r="I20" s="162">
        <v>0.19</v>
      </c>
    </row>
    <row r="21" spans="1:11" x14ac:dyDescent="0.25">
      <c r="A21" s="163">
        <v>400</v>
      </c>
      <c r="B21" s="163">
        <v>0.22</v>
      </c>
      <c r="C21" s="163">
        <v>0.18</v>
      </c>
      <c r="D21" s="163">
        <v>0.21</v>
      </c>
      <c r="E21" s="163">
        <v>0.18</v>
      </c>
      <c r="F21" s="162">
        <v>0.19</v>
      </c>
      <c r="G21" s="162">
        <v>0.16</v>
      </c>
      <c r="H21" s="162">
        <v>0.18</v>
      </c>
      <c r="I21" s="162">
        <v>0.16</v>
      </c>
    </row>
    <row r="22" spans="1:11" x14ac:dyDescent="0.25">
      <c r="A22" s="162">
        <v>500</v>
      </c>
      <c r="B22" s="162">
        <v>0.2</v>
      </c>
      <c r="C22" s="162">
        <v>0.16</v>
      </c>
      <c r="D22" s="162">
        <v>0.19</v>
      </c>
      <c r="E22" s="162">
        <v>0.16</v>
      </c>
      <c r="F22" s="162">
        <v>0.17</v>
      </c>
      <c r="G22" s="162">
        <v>0.14000000000000001</v>
      </c>
      <c r="H22" s="162">
        <v>0.17</v>
      </c>
      <c r="I22" s="162">
        <v>0.14000000000000001</v>
      </c>
    </row>
    <row r="23" spans="1:11" x14ac:dyDescent="0.25">
      <c r="A23" s="163"/>
      <c r="B23" s="163"/>
      <c r="C23" s="163"/>
      <c r="D23" s="163"/>
      <c r="E23" s="163"/>
    </row>
    <row r="24" spans="1:11" ht="17.399999999999999" x14ac:dyDescent="0.25">
      <c r="A24" s="167" t="s">
        <v>282</v>
      </c>
    </row>
    <row r="25" spans="1:11" s="161" customFormat="1" ht="19.2" customHeight="1" x14ac:dyDescent="0.25">
      <c r="A25" s="207" t="s">
        <v>281</v>
      </c>
      <c r="B25" s="208" t="s">
        <v>352</v>
      </c>
      <c r="C25" s="208"/>
      <c r="D25" s="208" t="s">
        <v>85</v>
      </c>
      <c r="E25" s="208"/>
      <c r="F25" s="206" t="s">
        <v>88</v>
      </c>
      <c r="G25" s="206"/>
      <c r="H25" s="206" t="s">
        <v>86</v>
      </c>
      <c r="I25" s="208"/>
    </row>
    <row r="26" spans="1:11" s="161" customFormat="1" ht="19.2" customHeight="1" x14ac:dyDescent="0.25">
      <c r="A26" s="207"/>
      <c r="B26" s="166" t="s">
        <v>61</v>
      </c>
      <c r="C26" s="166" t="s">
        <v>62</v>
      </c>
      <c r="D26" s="166" t="s">
        <v>61</v>
      </c>
      <c r="E26" s="166" t="s">
        <v>62</v>
      </c>
      <c r="F26" s="166" t="s">
        <v>61</v>
      </c>
      <c r="G26" s="166" t="s">
        <v>62</v>
      </c>
      <c r="H26" s="166" t="s">
        <v>61</v>
      </c>
      <c r="I26" s="166" t="s">
        <v>62</v>
      </c>
    </row>
    <row r="27" spans="1:11" s="72" customFormat="1" x14ac:dyDescent="0.25">
      <c r="A27" s="207"/>
      <c r="B27" s="168" t="s">
        <v>358</v>
      </c>
      <c r="C27" s="168" t="s">
        <v>358</v>
      </c>
      <c r="D27" s="168" t="s">
        <v>358</v>
      </c>
      <c r="E27" s="168" t="s">
        <v>358</v>
      </c>
      <c r="F27" s="168" t="s">
        <v>358</v>
      </c>
      <c r="G27" s="168" t="s">
        <v>358</v>
      </c>
      <c r="H27" s="168" t="s">
        <v>358</v>
      </c>
      <c r="I27" s="168" t="s">
        <v>358</v>
      </c>
      <c r="J27" s="162"/>
      <c r="K27" s="162"/>
    </row>
    <row r="28" spans="1:11" x14ac:dyDescent="0.25">
      <c r="A28" s="163">
        <v>1.5</v>
      </c>
      <c r="B28" s="163">
        <v>25.63</v>
      </c>
      <c r="C28" s="163">
        <v>30.31</v>
      </c>
      <c r="D28" s="163">
        <v>25.59</v>
      </c>
      <c r="E28" s="163">
        <v>30.29</v>
      </c>
      <c r="F28" s="162">
        <v>22.17</v>
      </c>
      <c r="G28" s="162">
        <v>26.22</v>
      </c>
      <c r="H28" s="162">
        <v>22.14</v>
      </c>
      <c r="I28" s="162">
        <v>26.2</v>
      </c>
    </row>
    <row r="29" spans="1:11" x14ac:dyDescent="0.25">
      <c r="A29" s="163">
        <v>2.5</v>
      </c>
      <c r="B29" s="163">
        <v>15.46</v>
      </c>
      <c r="C29" s="163">
        <v>18.239999999999998</v>
      </c>
      <c r="D29" s="163">
        <v>15.42</v>
      </c>
      <c r="E29" s="163">
        <v>18.22</v>
      </c>
      <c r="F29" s="162">
        <v>13.37</v>
      </c>
      <c r="G29" s="162">
        <v>15.77</v>
      </c>
      <c r="H29" s="162">
        <v>13.34</v>
      </c>
      <c r="I29" s="162">
        <v>15.76</v>
      </c>
    </row>
    <row r="30" spans="1:11" x14ac:dyDescent="0.25">
      <c r="A30" s="163">
        <v>4</v>
      </c>
      <c r="B30" s="163">
        <v>9.65</v>
      </c>
      <c r="C30" s="163">
        <v>11.34</v>
      </c>
      <c r="D30" s="163">
        <v>9.61</v>
      </c>
      <c r="E30" s="163">
        <v>11.32</v>
      </c>
      <c r="F30" s="162">
        <v>8.35</v>
      </c>
      <c r="G30" s="162">
        <v>9.81</v>
      </c>
      <c r="H30" s="162">
        <v>8.32</v>
      </c>
      <c r="I30" s="162">
        <v>9.8000000000000007</v>
      </c>
    </row>
    <row r="31" spans="1:11" x14ac:dyDescent="0.25">
      <c r="A31" s="163">
        <v>6</v>
      </c>
      <c r="B31" s="163">
        <v>6.48</v>
      </c>
      <c r="C31" s="163">
        <v>7.59</v>
      </c>
      <c r="D31" s="163">
        <v>6.45</v>
      </c>
      <c r="E31" s="163">
        <v>7.57</v>
      </c>
      <c r="F31" s="162">
        <v>5.6</v>
      </c>
      <c r="G31" s="162">
        <v>6.56</v>
      </c>
      <c r="H31" s="162">
        <v>5.58</v>
      </c>
      <c r="I31" s="162">
        <v>6.55</v>
      </c>
    </row>
    <row r="32" spans="1:11" x14ac:dyDescent="0.25">
      <c r="A32" s="163">
        <v>10</v>
      </c>
      <c r="B32" s="163">
        <v>3.81</v>
      </c>
      <c r="C32" s="163">
        <v>4.43</v>
      </c>
      <c r="D32" s="163">
        <v>3.79</v>
      </c>
      <c r="E32" s="163">
        <v>4.41</v>
      </c>
      <c r="F32" s="162">
        <v>3.29</v>
      </c>
      <c r="G32" s="162">
        <v>3.82</v>
      </c>
      <c r="H32" s="162">
        <v>3.27</v>
      </c>
      <c r="I32" s="162">
        <v>3.81</v>
      </c>
    </row>
    <row r="33" spans="1:9" x14ac:dyDescent="0.25">
      <c r="A33" s="163">
        <v>16</v>
      </c>
      <c r="B33" s="163">
        <v>2.4500000000000002</v>
      </c>
      <c r="C33" s="163">
        <v>2.83</v>
      </c>
      <c r="D33" s="163">
        <v>2.4300000000000002</v>
      </c>
      <c r="E33" s="163">
        <v>2.81</v>
      </c>
      <c r="F33" s="162">
        <v>2.12</v>
      </c>
      <c r="G33" s="162">
        <v>2.44</v>
      </c>
      <c r="H33" s="162">
        <v>2.1</v>
      </c>
      <c r="I33" s="162">
        <v>2.4300000000000002</v>
      </c>
    </row>
    <row r="34" spans="1:9" x14ac:dyDescent="0.25">
      <c r="A34" s="163">
        <v>25</v>
      </c>
      <c r="B34" s="163">
        <v>1.63</v>
      </c>
      <c r="C34" s="163">
        <v>1.85</v>
      </c>
      <c r="D34" s="163">
        <v>1.61</v>
      </c>
      <c r="E34" s="163">
        <v>1.83</v>
      </c>
      <c r="F34" s="162">
        <v>1.41</v>
      </c>
      <c r="G34" s="162">
        <v>1.6</v>
      </c>
      <c r="H34" s="162">
        <v>1.39</v>
      </c>
      <c r="I34" s="162">
        <v>1.59</v>
      </c>
    </row>
    <row r="35" spans="1:9" x14ac:dyDescent="0.25">
      <c r="A35" s="163">
        <v>35</v>
      </c>
      <c r="B35" s="163">
        <v>1.19</v>
      </c>
      <c r="C35" s="163">
        <v>1.33</v>
      </c>
      <c r="D35" s="163">
        <v>1.17</v>
      </c>
      <c r="E35" s="163">
        <v>1.32</v>
      </c>
      <c r="F35" s="162">
        <v>1.03</v>
      </c>
      <c r="G35" s="162">
        <v>1.1499999999999999</v>
      </c>
      <c r="H35" s="162">
        <v>1.01</v>
      </c>
      <c r="I35" s="162">
        <v>1.1399999999999999</v>
      </c>
    </row>
    <row r="36" spans="1:9" x14ac:dyDescent="0.25">
      <c r="A36" s="163">
        <v>50</v>
      </c>
      <c r="B36" s="163">
        <v>0.87</v>
      </c>
      <c r="C36" s="163">
        <v>0.94</v>
      </c>
      <c r="D36" s="163">
        <v>0.85</v>
      </c>
      <c r="E36" s="163">
        <v>0.94</v>
      </c>
      <c r="F36" s="162">
        <v>0.75</v>
      </c>
      <c r="G36" s="162">
        <v>0.82</v>
      </c>
      <c r="H36" s="162">
        <v>0.74</v>
      </c>
      <c r="I36" s="162">
        <v>0.81</v>
      </c>
    </row>
    <row r="37" spans="1:9" x14ac:dyDescent="0.25">
      <c r="A37" s="163">
        <v>70</v>
      </c>
      <c r="B37" s="163">
        <v>0.64</v>
      </c>
      <c r="C37" s="163">
        <v>0.68</v>
      </c>
      <c r="D37" s="163">
        <v>0.63</v>
      </c>
      <c r="E37" s="163">
        <v>0.67</v>
      </c>
      <c r="F37" s="162">
        <v>0.56000000000000005</v>
      </c>
      <c r="G37" s="162">
        <v>0.59</v>
      </c>
      <c r="H37" s="162">
        <v>0.54</v>
      </c>
      <c r="I37" s="162">
        <v>0.59</v>
      </c>
    </row>
    <row r="38" spans="1:9" x14ac:dyDescent="0.25">
      <c r="A38" s="163">
        <v>95</v>
      </c>
      <c r="B38" s="163">
        <v>0.52</v>
      </c>
      <c r="C38" s="163">
        <v>0.53</v>
      </c>
      <c r="D38" s="163">
        <v>0.5</v>
      </c>
      <c r="E38" s="163">
        <v>0.53</v>
      </c>
      <c r="F38" s="162">
        <v>0.45</v>
      </c>
      <c r="G38" s="162">
        <v>0.46</v>
      </c>
      <c r="H38" s="162">
        <v>0.43</v>
      </c>
      <c r="I38" s="162">
        <v>0.46</v>
      </c>
    </row>
    <row r="39" spans="1:9" x14ac:dyDescent="0.25">
      <c r="A39" s="163">
        <v>120</v>
      </c>
      <c r="B39" s="163">
        <v>0.43</v>
      </c>
      <c r="C39" s="163">
        <v>0.43</v>
      </c>
      <c r="D39" s="163">
        <v>0.41</v>
      </c>
      <c r="E39" s="163">
        <v>0.42</v>
      </c>
      <c r="F39" s="162">
        <v>0.37</v>
      </c>
      <c r="G39" s="162">
        <v>0.37</v>
      </c>
      <c r="H39" s="162">
        <v>0.36</v>
      </c>
      <c r="I39" s="162">
        <v>0.37</v>
      </c>
    </row>
    <row r="40" spans="1:9" x14ac:dyDescent="0.25">
      <c r="A40" s="163">
        <v>150</v>
      </c>
      <c r="B40" s="163">
        <v>0.37</v>
      </c>
      <c r="C40" s="163">
        <v>0.36</v>
      </c>
      <c r="D40" s="163">
        <v>0.35</v>
      </c>
      <c r="E40" s="163">
        <v>0.35</v>
      </c>
      <c r="F40" s="162">
        <v>0.32</v>
      </c>
      <c r="G40" s="162">
        <v>0.31</v>
      </c>
      <c r="H40" s="162">
        <v>0.31</v>
      </c>
      <c r="I40" s="162">
        <v>0.3</v>
      </c>
    </row>
    <row r="41" spans="1:9" x14ac:dyDescent="0.25">
      <c r="A41" s="163">
        <v>185</v>
      </c>
      <c r="B41" s="163">
        <v>0.32</v>
      </c>
      <c r="C41" s="163">
        <v>0.31</v>
      </c>
      <c r="D41" s="163">
        <v>0.31</v>
      </c>
      <c r="E41" s="163">
        <v>0.3</v>
      </c>
      <c r="F41" s="162">
        <v>0.28000000000000003</v>
      </c>
      <c r="G41" s="162">
        <v>0.27</v>
      </c>
      <c r="H41" s="162">
        <v>0.27</v>
      </c>
      <c r="I41" s="162">
        <v>0.26</v>
      </c>
    </row>
    <row r="42" spans="1:9" x14ac:dyDescent="0.25">
      <c r="A42" s="163">
        <v>240</v>
      </c>
      <c r="B42" s="163">
        <v>0.27</v>
      </c>
      <c r="C42" s="163">
        <v>0.25</v>
      </c>
      <c r="D42" s="163">
        <v>0.26</v>
      </c>
      <c r="E42" s="163">
        <v>0.24</v>
      </c>
      <c r="F42" s="162">
        <v>0.24</v>
      </c>
      <c r="G42" s="162">
        <v>0.22</v>
      </c>
      <c r="H42" s="162">
        <v>0.23</v>
      </c>
      <c r="I42" s="162">
        <v>0.21</v>
      </c>
    </row>
    <row r="43" spans="1:9" x14ac:dyDescent="0.25">
      <c r="A43" s="163">
        <v>300</v>
      </c>
      <c r="B43" s="163">
        <v>0.24</v>
      </c>
      <c r="C43" s="163">
        <v>0.21</v>
      </c>
      <c r="D43" s="163">
        <v>0.23</v>
      </c>
      <c r="E43" s="163">
        <v>0.21</v>
      </c>
      <c r="F43" s="162">
        <v>0.21</v>
      </c>
      <c r="G43" s="162">
        <v>0.18</v>
      </c>
      <c r="H43" s="162">
        <v>0.2</v>
      </c>
      <c r="I43" s="162">
        <v>0.18</v>
      </c>
    </row>
    <row r="44" spans="1:9" x14ac:dyDescent="0.25">
      <c r="A44" s="163">
        <v>400</v>
      </c>
      <c r="B44" s="163">
        <v>0.21</v>
      </c>
      <c r="C44" s="163">
        <v>0.18</v>
      </c>
      <c r="D44" s="163">
        <v>0.2</v>
      </c>
      <c r="E44" s="163">
        <v>0.17</v>
      </c>
      <c r="F44" s="162">
        <v>0.19</v>
      </c>
      <c r="G44" s="162">
        <v>0.16</v>
      </c>
      <c r="H44" s="162">
        <v>0.18</v>
      </c>
      <c r="I44" s="162">
        <v>0.15</v>
      </c>
    </row>
    <row r="45" spans="1:9" x14ac:dyDescent="0.25">
      <c r="A45" s="163">
        <v>500</v>
      </c>
      <c r="B45" s="163">
        <v>0.19</v>
      </c>
      <c r="C45" s="163">
        <v>0.16</v>
      </c>
      <c r="D45" s="163">
        <v>0.19</v>
      </c>
      <c r="E45" s="163">
        <v>0.15</v>
      </c>
      <c r="F45" s="162">
        <v>0.17</v>
      </c>
      <c r="G45" s="162">
        <v>0.14000000000000001</v>
      </c>
      <c r="H45" s="162">
        <v>0.16</v>
      </c>
      <c r="I45" s="162">
        <v>0.14000000000000001</v>
      </c>
    </row>
  </sheetData>
  <mergeCells count="10">
    <mergeCell ref="A2:A4"/>
    <mergeCell ref="B2:C2"/>
    <mergeCell ref="D2:E2"/>
    <mergeCell ref="F2:G2"/>
    <mergeCell ref="H2:I2"/>
    <mergeCell ref="A25:A27"/>
    <mergeCell ref="B25:C25"/>
    <mergeCell ref="D25:E25"/>
    <mergeCell ref="F25:G25"/>
    <mergeCell ref="H25:I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AB56-E630-425D-A0F3-05B3B599A809}">
  <dimension ref="A1:AO106"/>
  <sheetViews>
    <sheetView topLeftCell="A9" zoomScaleNormal="100" workbookViewId="0">
      <selection activeCell="G27" sqref="G27"/>
    </sheetView>
  </sheetViews>
  <sheetFormatPr defaultRowHeight="13.2" x14ac:dyDescent="0.25"/>
  <cols>
    <col min="1" max="17" width="12.77734375" style="162" customWidth="1"/>
    <col min="18" max="26" width="13.77734375" style="162" customWidth="1"/>
    <col min="27" max="41" width="15.77734375" style="162" customWidth="1"/>
  </cols>
  <sheetData>
    <row r="1" spans="1:15" ht="17.399999999999999" x14ac:dyDescent="0.25">
      <c r="A1" s="164" t="s">
        <v>361</v>
      </c>
    </row>
    <row r="2" spans="1:15" ht="17.399999999999999" x14ac:dyDescent="0.25">
      <c r="A2" s="164" t="s">
        <v>362</v>
      </c>
    </row>
    <row r="4" spans="1:15" s="143" customFormat="1" x14ac:dyDescent="0.25">
      <c r="A4" s="208" t="s">
        <v>364</v>
      </c>
      <c r="B4" s="208"/>
      <c r="C4" s="173"/>
      <c r="D4" s="208" t="s">
        <v>365</v>
      </c>
      <c r="E4" s="208"/>
      <c r="F4" s="173"/>
      <c r="G4" s="173"/>
      <c r="H4" s="173"/>
      <c r="I4" s="173"/>
      <c r="J4" s="173"/>
      <c r="K4" s="173"/>
      <c r="L4" s="173"/>
      <c r="M4" s="173"/>
      <c r="N4" s="173"/>
      <c r="O4" s="173"/>
    </row>
    <row r="5" spans="1:15" s="143" customFormat="1" x14ac:dyDescent="0.25">
      <c r="A5" s="173" t="s">
        <v>237</v>
      </c>
      <c r="B5" s="173" t="s">
        <v>240</v>
      </c>
      <c r="C5" s="173" t="s">
        <v>363</v>
      </c>
      <c r="D5" s="173" t="s">
        <v>240</v>
      </c>
      <c r="E5" s="173" t="s">
        <v>363</v>
      </c>
      <c r="F5" s="173"/>
      <c r="G5" s="173"/>
      <c r="H5" s="173"/>
      <c r="I5" s="173"/>
      <c r="J5" s="173"/>
      <c r="K5" s="173"/>
      <c r="L5" s="173"/>
      <c r="M5" s="173"/>
      <c r="N5" s="173"/>
      <c r="O5" s="173"/>
    </row>
    <row r="6" spans="1:15" x14ac:dyDescent="0.25">
      <c r="A6" s="162">
        <v>10</v>
      </c>
      <c r="B6" s="162">
        <v>1.22</v>
      </c>
      <c r="C6" s="162">
        <v>1.1499999999999999</v>
      </c>
      <c r="D6" s="162">
        <v>1.1000000000000001</v>
      </c>
      <c r="E6" s="162">
        <v>1.07</v>
      </c>
    </row>
    <row r="7" spans="1:15" x14ac:dyDescent="0.25">
      <c r="A7" s="162">
        <v>15</v>
      </c>
      <c r="B7" s="162">
        <v>1.17</v>
      </c>
      <c r="C7" s="162">
        <v>1.1200000000000001</v>
      </c>
      <c r="D7" s="162">
        <v>1.05</v>
      </c>
      <c r="E7" s="162">
        <v>1.04</v>
      </c>
    </row>
    <row r="8" spans="1:15" x14ac:dyDescent="0.25">
      <c r="A8" s="162">
        <v>20</v>
      </c>
      <c r="B8" s="162">
        <v>1.1200000000000001</v>
      </c>
      <c r="C8" s="162">
        <v>1.08</v>
      </c>
      <c r="D8" s="162">
        <v>0.95</v>
      </c>
      <c r="E8" s="162">
        <v>0.96</v>
      </c>
    </row>
    <row r="9" spans="1:15" x14ac:dyDescent="0.25">
      <c r="A9" s="162">
        <v>25</v>
      </c>
      <c r="B9" s="162">
        <v>1.06</v>
      </c>
      <c r="C9" s="162">
        <v>1.04</v>
      </c>
      <c r="D9" s="162">
        <v>0.89</v>
      </c>
      <c r="E9" s="162">
        <v>0.93</v>
      </c>
    </row>
    <row r="10" spans="1:15" x14ac:dyDescent="0.25">
      <c r="A10" s="162">
        <v>35</v>
      </c>
      <c r="B10" s="162">
        <v>0.94</v>
      </c>
      <c r="C10" s="162">
        <v>0.96</v>
      </c>
      <c r="D10" s="162">
        <v>0.84</v>
      </c>
      <c r="E10" s="162">
        <v>0.89</v>
      </c>
    </row>
    <row r="11" spans="1:15" x14ac:dyDescent="0.25">
      <c r="A11" s="162">
        <v>40</v>
      </c>
      <c r="B11" s="162">
        <v>0.87</v>
      </c>
      <c r="C11" s="162">
        <v>0.91</v>
      </c>
      <c r="D11" s="162">
        <v>0.77</v>
      </c>
      <c r="E11" s="162">
        <v>0.85</v>
      </c>
    </row>
    <row r="12" spans="1:15" x14ac:dyDescent="0.25">
      <c r="A12" s="162">
        <v>45</v>
      </c>
      <c r="B12" s="162">
        <v>0.79</v>
      </c>
      <c r="C12" s="162">
        <v>0.87</v>
      </c>
      <c r="D12" s="162">
        <v>0.71</v>
      </c>
      <c r="E12" s="162">
        <v>0.8</v>
      </c>
    </row>
    <row r="13" spans="1:15" x14ac:dyDescent="0.25">
      <c r="A13" s="162">
        <v>50</v>
      </c>
      <c r="B13" s="162">
        <v>0.71</v>
      </c>
      <c r="C13" s="162">
        <v>0.82</v>
      </c>
      <c r="D13" s="162">
        <v>0.63</v>
      </c>
      <c r="E13" s="162">
        <v>0.76</v>
      </c>
    </row>
    <row r="14" spans="1:15" x14ac:dyDescent="0.25">
      <c r="A14" s="162">
        <v>55</v>
      </c>
      <c r="B14" s="162">
        <v>0.61</v>
      </c>
      <c r="C14" s="162">
        <v>0.76</v>
      </c>
      <c r="D14" s="162">
        <v>0.55000000000000004</v>
      </c>
      <c r="E14" s="162">
        <v>0.71</v>
      </c>
    </row>
    <row r="15" spans="1:15" x14ac:dyDescent="0.25">
      <c r="A15" s="162">
        <v>60</v>
      </c>
      <c r="B15" s="162">
        <v>0.5</v>
      </c>
      <c r="C15" s="162">
        <v>0.71</v>
      </c>
      <c r="D15" s="162">
        <v>0.45</v>
      </c>
      <c r="E15" s="162">
        <v>0.65</v>
      </c>
    </row>
    <row r="16" spans="1:15" x14ac:dyDescent="0.25">
      <c r="A16" s="162">
        <v>65</v>
      </c>
      <c r="B16" s="162" t="s">
        <v>19</v>
      </c>
      <c r="C16" s="162">
        <v>0.65</v>
      </c>
      <c r="D16" s="162" t="s">
        <v>19</v>
      </c>
      <c r="E16" s="162">
        <v>0.6</v>
      </c>
    </row>
    <row r="17" spans="1:41" x14ac:dyDescent="0.25">
      <c r="A17" s="162">
        <v>70</v>
      </c>
      <c r="B17" s="162" t="s">
        <v>19</v>
      </c>
      <c r="C17" s="162">
        <v>0.57999999999999996</v>
      </c>
      <c r="D17" s="162" t="s">
        <v>19</v>
      </c>
      <c r="E17" s="162">
        <v>0.53</v>
      </c>
    </row>
    <row r="18" spans="1:41" x14ac:dyDescent="0.25">
      <c r="A18" s="162">
        <v>75</v>
      </c>
      <c r="B18" s="162" t="s">
        <v>19</v>
      </c>
      <c r="C18" s="162">
        <v>0.5</v>
      </c>
      <c r="D18" s="162" t="s">
        <v>19</v>
      </c>
      <c r="E18" s="162">
        <v>0.46</v>
      </c>
    </row>
    <row r="19" spans="1:41" x14ac:dyDescent="0.25">
      <c r="A19" s="162">
        <v>80</v>
      </c>
      <c r="B19" s="162" t="s">
        <v>19</v>
      </c>
      <c r="C19" s="162">
        <v>0.41</v>
      </c>
      <c r="D19" s="162" t="s">
        <v>19</v>
      </c>
      <c r="E19" s="162">
        <v>0.38</v>
      </c>
    </row>
    <row r="21" spans="1:41" ht="17.399999999999999" x14ac:dyDescent="0.25">
      <c r="A21" s="164" t="s">
        <v>258</v>
      </c>
    </row>
    <row r="23" spans="1:41" ht="26.4" x14ac:dyDescent="0.25">
      <c r="A23" s="161" t="s">
        <v>259</v>
      </c>
      <c r="B23" s="161">
        <v>1</v>
      </c>
      <c r="C23" s="161">
        <v>2</v>
      </c>
      <c r="D23" s="161">
        <v>3</v>
      </c>
      <c r="E23" s="161">
        <v>4</v>
      </c>
      <c r="F23" s="161">
        <v>5</v>
      </c>
      <c r="G23" s="161">
        <v>6</v>
      </c>
      <c r="H23" s="161">
        <v>7</v>
      </c>
      <c r="I23" s="161">
        <v>8</v>
      </c>
      <c r="J23" s="161">
        <v>9</v>
      </c>
      <c r="K23" s="161">
        <v>10</v>
      </c>
      <c r="L23" s="161">
        <v>11</v>
      </c>
      <c r="M23" s="161">
        <v>12</v>
      </c>
      <c r="N23" s="161"/>
      <c r="AO23"/>
    </row>
    <row r="24" spans="1:41" x14ac:dyDescent="0.25">
      <c r="A24" s="163" t="s">
        <v>260</v>
      </c>
      <c r="B24" s="163">
        <v>1</v>
      </c>
      <c r="C24" s="163">
        <v>0.8</v>
      </c>
      <c r="D24" s="163">
        <v>0.7</v>
      </c>
      <c r="E24" s="163">
        <v>0.65</v>
      </c>
      <c r="F24" s="163">
        <v>0.6</v>
      </c>
      <c r="G24" s="163">
        <v>0.56999999999999995</v>
      </c>
      <c r="H24" s="163">
        <v>0.54</v>
      </c>
      <c r="I24" s="163">
        <v>0.52</v>
      </c>
      <c r="J24" s="163">
        <v>0.5</v>
      </c>
      <c r="K24" s="163">
        <v>0.45</v>
      </c>
      <c r="L24" s="163">
        <v>0.41</v>
      </c>
      <c r="M24" s="163">
        <v>0.38</v>
      </c>
      <c r="N24" s="163"/>
      <c r="AO24"/>
    </row>
    <row r="25" spans="1:41" x14ac:dyDescent="0.25">
      <c r="A25" s="163" t="s">
        <v>261</v>
      </c>
      <c r="B25" s="163">
        <v>1</v>
      </c>
      <c r="C25" s="163">
        <v>0.85</v>
      </c>
      <c r="D25" s="163">
        <v>0.79</v>
      </c>
      <c r="E25" s="163">
        <v>0.75</v>
      </c>
      <c r="F25" s="163">
        <v>0.73</v>
      </c>
      <c r="G25" s="163">
        <v>0.72</v>
      </c>
      <c r="H25" s="163">
        <v>0.72</v>
      </c>
      <c r="I25" s="163">
        <v>0.71</v>
      </c>
      <c r="J25" s="163">
        <v>0.7</v>
      </c>
      <c r="K25" s="163"/>
      <c r="L25" s="163"/>
      <c r="M25" s="163"/>
      <c r="N25" s="163"/>
      <c r="AO25"/>
    </row>
    <row r="26" spans="1:41" x14ac:dyDescent="0.25">
      <c r="A26" s="163" t="s">
        <v>261</v>
      </c>
      <c r="B26" s="163">
        <v>0.95</v>
      </c>
      <c r="C26" s="163">
        <v>0.81</v>
      </c>
      <c r="D26" s="163">
        <v>0.72</v>
      </c>
      <c r="E26" s="163">
        <v>0.68</v>
      </c>
      <c r="F26" s="163">
        <v>0.66</v>
      </c>
      <c r="G26" s="163">
        <v>0.64</v>
      </c>
      <c r="H26" s="163">
        <v>0.63</v>
      </c>
      <c r="I26" s="163">
        <v>0.62</v>
      </c>
      <c r="J26" s="163">
        <v>0.61</v>
      </c>
      <c r="K26" s="163"/>
      <c r="L26" s="163"/>
      <c r="M26" s="163"/>
      <c r="N26" s="163"/>
      <c r="AO26"/>
    </row>
    <row r="27" spans="1:41" x14ac:dyDescent="0.25">
      <c r="A27" s="163" t="s">
        <v>262</v>
      </c>
      <c r="B27" s="163">
        <v>1</v>
      </c>
      <c r="C27" s="163">
        <v>0.88</v>
      </c>
      <c r="D27" s="163">
        <v>0.82</v>
      </c>
      <c r="E27" s="163">
        <v>0.77</v>
      </c>
      <c r="F27" s="163">
        <v>0.75</v>
      </c>
      <c r="G27" s="163">
        <v>0.73</v>
      </c>
      <c r="H27" s="163">
        <v>0.73</v>
      </c>
      <c r="I27" s="163">
        <v>0.72</v>
      </c>
      <c r="J27" s="163">
        <v>0.72</v>
      </c>
      <c r="K27" s="163">
        <v>0.68</v>
      </c>
      <c r="L27" s="163">
        <v>0.62</v>
      </c>
      <c r="M27" s="163">
        <v>0.56999999999999995</v>
      </c>
      <c r="N27" s="163"/>
      <c r="AO27"/>
    </row>
    <row r="28" spans="1:41" x14ac:dyDescent="0.25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</row>
    <row r="30" spans="1:41" ht="17.399999999999999" x14ac:dyDescent="0.25">
      <c r="A30" s="164" t="s">
        <v>263</v>
      </c>
    </row>
    <row r="32" spans="1:41" ht="92.4" x14ac:dyDescent="0.25">
      <c r="A32" s="161" t="s">
        <v>264</v>
      </c>
      <c r="B32" s="161" t="s">
        <v>265</v>
      </c>
      <c r="C32" s="161" t="s">
        <v>266</v>
      </c>
      <c r="D32" s="161" t="s">
        <v>267</v>
      </c>
      <c r="E32" s="161" t="s">
        <v>268</v>
      </c>
      <c r="F32" s="161" t="s">
        <v>269</v>
      </c>
    </row>
    <row r="33" spans="1:6" x14ac:dyDescent="0.25">
      <c r="A33" s="163">
        <v>2</v>
      </c>
      <c r="B33" s="163">
        <v>0.68</v>
      </c>
      <c r="C33" s="163">
        <v>0.62</v>
      </c>
      <c r="D33" s="163">
        <v>0.6</v>
      </c>
      <c r="E33" s="163">
        <v>0.57999999999999996</v>
      </c>
      <c r="F33" s="163">
        <v>0.56000000000000005</v>
      </c>
    </row>
    <row r="34" spans="1:6" x14ac:dyDescent="0.25">
      <c r="A34" s="163">
        <v>3</v>
      </c>
      <c r="B34" s="163">
        <v>0.62</v>
      </c>
      <c r="C34" s="163">
        <v>0.56999999999999995</v>
      </c>
      <c r="D34" s="163">
        <v>0.55000000000000004</v>
      </c>
      <c r="E34" s="163">
        <v>0.53</v>
      </c>
      <c r="F34" s="163">
        <v>0.51</v>
      </c>
    </row>
    <row r="35" spans="1:6" x14ac:dyDescent="0.25">
      <c r="A35" s="163" t="s">
        <v>270</v>
      </c>
      <c r="B35" s="163">
        <v>0.6</v>
      </c>
      <c r="C35" s="163">
        <v>0.55000000000000004</v>
      </c>
      <c r="D35" s="163">
        <v>0.52</v>
      </c>
      <c r="E35" s="163">
        <v>0.51</v>
      </c>
      <c r="F35" s="163">
        <v>0.49</v>
      </c>
    </row>
    <row r="36" spans="1:6" x14ac:dyDescent="0.25">
      <c r="A36" s="163" t="s">
        <v>271</v>
      </c>
      <c r="B36" s="163">
        <v>0.57999999999999996</v>
      </c>
      <c r="C36" s="163">
        <v>0.53</v>
      </c>
      <c r="D36" s="163">
        <v>0.51</v>
      </c>
      <c r="E36" s="163">
        <v>0.49</v>
      </c>
      <c r="F36" s="163">
        <v>0.48</v>
      </c>
    </row>
    <row r="37" spans="1:6" x14ac:dyDescent="0.25">
      <c r="A37" s="163" t="s">
        <v>272</v>
      </c>
      <c r="B37" s="163">
        <v>0.56000000000000005</v>
      </c>
      <c r="C37" s="163">
        <v>0.51</v>
      </c>
      <c r="D37" s="163">
        <v>0.49</v>
      </c>
      <c r="E37" s="163">
        <v>0.48</v>
      </c>
      <c r="F37" s="163">
        <v>0.46</v>
      </c>
    </row>
    <row r="39" spans="1:6" ht="17.399999999999999" x14ac:dyDescent="0.25">
      <c r="A39" s="164" t="s">
        <v>274</v>
      </c>
    </row>
    <row r="41" spans="1:6" ht="52.8" x14ac:dyDescent="0.25">
      <c r="A41" s="161" t="s">
        <v>273</v>
      </c>
      <c r="B41" s="161" t="s">
        <v>275</v>
      </c>
      <c r="C41" s="161" t="s">
        <v>276</v>
      </c>
      <c r="D41" s="161" t="s">
        <v>277</v>
      </c>
      <c r="E41" s="161" t="s">
        <v>278</v>
      </c>
    </row>
    <row r="42" spans="1:6" x14ac:dyDescent="0.25">
      <c r="A42" s="163">
        <v>2</v>
      </c>
      <c r="B42" s="163">
        <v>0.85</v>
      </c>
      <c r="C42" s="163">
        <v>0.9</v>
      </c>
      <c r="D42" s="163">
        <v>0.95</v>
      </c>
      <c r="E42" s="163">
        <v>0.95</v>
      </c>
    </row>
    <row r="43" spans="1:6" x14ac:dyDescent="0.25">
      <c r="A43" s="163">
        <v>3</v>
      </c>
      <c r="B43" s="163">
        <v>0.75</v>
      </c>
      <c r="C43" s="163">
        <v>0.85</v>
      </c>
      <c r="D43" s="163">
        <v>0.9</v>
      </c>
      <c r="E43" s="163">
        <v>0.95</v>
      </c>
    </row>
    <row r="44" spans="1:6" x14ac:dyDescent="0.25">
      <c r="A44" s="163">
        <v>4</v>
      </c>
      <c r="B44" s="163">
        <v>0.7</v>
      </c>
      <c r="C44" s="163">
        <v>0.8</v>
      </c>
      <c r="D44" s="163">
        <v>0.85</v>
      </c>
      <c r="E44" s="163">
        <v>0.9</v>
      </c>
    </row>
    <row r="45" spans="1:6" x14ac:dyDescent="0.25">
      <c r="A45" s="163">
        <v>5</v>
      </c>
      <c r="B45" s="163">
        <v>0.65</v>
      </c>
      <c r="C45" s="163">
        <v>0.8</v>
      </c>
      <c r="D45" s="163">
        <v>0.85</v>
      </c>
      <c r="E45" s="163">
        <v>0.9</v>
      </c>
    </row>
    <row r="46" spans="1:6" x14ac:dyDescent="0.25">
      <c r="A46" s="163">
        <v>6</v>
      </c>
      <c r="B46" s="163">
        <v>0.6</v>
      </c>
      <c r="C46" s="163">
        <v>0.8</v>
      </c>
      <c r="D46" s="163">
        <v>0.8</v>
      </c>
      <c r="E46" s="163">
        <v>0.8</v>
      </c>
    </row>
    <row r="47" spans="1:6" x14ac:dyDescent="0.25">
      <c r="A47" s="163">
        <v>7</v>
      </c>
      <c r="B47" s="163">
        <v>0.56999999999999995</v>
      </c>
      <c r="C47" s="163">
        <v>0.76</v>
      </c>
      <c r="D47" s="163">
        <v>0.8</v>
      </c>
      <c r="E47" s="163">
        <v>0.88</v>
      </c>
    </row>
    <row r="48" spans="1:6" x14ac:dyDescent="0.25">
      <c r="A48" s="163">
        <v>8</v>
      </c>
      <c r="B48" s="163">
        <v>0.54</v>
      </c>
      <c r="C48" s="163">
        <v>0.74</v>
      </c>
      <c r="D48" s="163">
        <v>0.78</v>
      </c>
      <c r="E48" s="163">
        <v>0.88</v>
      </c>
    </row>
    <row r="49" spans="1:5" x14ac:dyDescent="0.25">
      <c r="A49" s="163">
        <v>9</v>
      </c>
      <c r="B49" s="163">
        <v>0.52</v>
      </c>
      <c r="C49" s="163">
        <v>0.73</v>
      </c>
      <c r="D49" s="163">
        <v>0.77</v>
      </c>
      <c r="E49" s="163">
        <v>0.87</v>
      </c>
    </row>
    <row r="50" spans="1:5" x14ac:dyDescent="0.25">
      <c r="A50" s="163">
        <v>10</v>
      </c>
      <c r="B50" s="163">
        <v>0.49</v>
      </c>
      <c r="C50" s="163">
        <v>0.72</v>
      </c>
      <c r="D50" s="163">
        <v>0.76</v>
      </c>
      <c r="E50" s="163">
        <v>0.86</v>
      </c>
    </row>
    <row r="51" spans="1:5" x14ac:dyDescent="0.25">
      <c r="A51" s="163">
        <v>11</v>
      </c>
      <c r="B51" s="163">
        <v>0.47</v>
      </c>
      <c r="C51" s="163">
        <v>0.7</v>
      </c>
      <c r="D51" s="163">
        <v>0.75</v>
      </c>
      <c r="E51" s="163">
        <v>0.86</v>
      </c>
    </row>
    <row r="52" spans="1:5" x14ac:dyDescent="0.25">
      <c r="A52" s="163">
        <v>12</v>
      </c>
      <c r="B52" s="163">
        <v>0.45</v>
      </c>
      <c r="C52" s="163">
        <v>0.69</v>
      </c>
      <c r="D52" s="163">
        <v>0.74</v>
      </c>
      <c r="E52" s="163">
        <v>0.85</v>
      </c>
    </row>
    <row r="53" spans="1:5" x14ac:dyDescent="0.25">
      <c r="A53" s="163">
        <v>13</v>
      </c>
      <c r="B53" s="163">
        <v>0.44</v>
      </c>
      <c r="C53" s="163">
        <v>0.68</v>
      </c>
      <c r="D53" s="163">
        <v>0.73</v>
      </c>
      <c r="E53" s="163">
        <v>0.85</v>
      </c>
    </row>
    <row r="54" spans="1:5" x14ac:dyDescent="0.25">
      <c r="A54" s="163">
        <v>14</v>
      </c>
      <c r="B54" s="163">
        <v>0.42</v>
      </c>
      <c r="C54" s="163">
        <v>0.68</v>
      </c>
      <c r="D54" s="163">
        <v>0.72</v>
      </c>
      <c r="E54" s="163">
        <v>0.84</v>
      </c>
    </row>
    <row r="55" spans="1:5" x14ac:dyDescent="0.25">
      <c r="A55" s="163">
        <v>15</v>
      </c>
      <c r="B55" s="163">
        <v>0.41</v>
      </c>
      <c r="C55" s="163">
        <v>0.67</v>
      </c>
      <c r="D55" s="163">
        <v>0.72</v>
      </c>
      <c r="E55" s="163">
        <v>0.84</v>
      </c>
    </row>
    <row r="56" spans="1:5" x14ac:dyDescent="0.25">
      <c r="A56" s="163">
        <v>16</v>
      </c>
      <c r="B56" s="163">
        <v>0.39</v>
      </c>
      <c r="C56" s="163">
        <v>0.66</v>
      </c>
      <c r="D56" s="163">
        <v>0.71</v>
      </c>
      <c r="E56" s="163">
        <v>0.83</v>
      </c>
    </row>
    <row r="57" spans="1:5" x14ac:dyDescent="0.25">
      <c r="A57" s="163">
        <v>17</v>
      </c>
      <c r="B57" s="163">
        <v>0.38</v>
      </c>
      <c r="C57" s="163">
        <v>0.65</v>
      </c>
      <c r="D57" s="163">
        <v>0.7</v>
      </c>
      <c r="E57" s="163">
        <v>0.83</v>
      </c>
    </row>
    <row r="58" spans="1:5" x14ac:dyDescent="0.25">
      <c r="A58" s="163">
        <v>18</v>
      </c>
      <c r="B58" s="163">
        <v>0.37</v>
      </c>
      <c r="C58" s="163">
        <v>0.65</v>
      </c>
      <c r="D58" s="163">
        <v>0.7</v>
      </c>
      <c r="E58" s="163">
        <v>0.83</v>
      </c>
    </row>
    <row r="59" spans="1:5" x14ac:dyDescent="0.25">
      <c r="A59" s="163">
        <v>19</v>
      </c>
      <c r="B59" s="163">
        <v>0.35</v>
      </c>
      <c r="C59" s="163">
        <v>0.64</v>
      </c>
      <c r="D59" s="163">
        <v>0.69</v>
      </c>
      <c r="E59" s="163">
        <v>0.82</v>
      </c>
    </row>
    <row r="60" spans="1:5" x14ac:dyDescent="0.25">
      <c r="A60" s="163">
        <v>20</v>
      </c>
      <c r="B60" s="163">
        <v>0.34</v>
      </c>
      <c r="C60" s="163">
        <v>0.63</v>
      </c>
      <c r="D60" s="163">
        <v>0.68</v>
      </c>
      <c r="E60" s="163">
        <v>0.82</v>
      </c>
    </row>
    <row r="62" spans="1:5" ht="17.399999999999999" x14ac:dyDescent="0.25">
      <c r="A62" s="164" t="s">
        <v>279</v>
      </c>
    </row>
    <row r="64" spans="1:5" ht="66" x14ac:dyDescent="0.25">
      <c r="A64" s="161" t="s">
        <v>280</v>
      </c>
      <c r="B64" s="161" t="s">
        <v>275</v>
      </c>
      <c r="C64" s="161" t="s">
        <v>276</v>
      </c>
      <c r="D64" s="161" t="s">
        <v>277</v>
      </c>
      <c r="E64" s="161" t="s">
        <v>278</v>
      </c>
    </row>
    <row r="65" spans="1:5" x14ac:dyDescent="0.25">
      <c r="A65" s="163">
        <v>2</v>
      </c>
      <c r="B65" s="163">
        <v>0.8</v>
      </c>
      <c r="C65" s="163">
        <v>0.9</v>
      </c>
      <c r="D65" s="163">
        <v>0.9</v>
      </c>
      <c r="E65" s="163">
        <v>0.95</v>
      </c>
    </row>
    <row r="66" spans="1:5" x14ac:dyDescent="0.25">
      <c r="A66" s="163">
        <v>3</v>
      </c>
      <c r="B66" s="163">
        <v>0.7</v>
      </c>
      <c r="C66" s="163">
        <v>0.8</v>
      </c>
      <c r="D66" s="163">
        <v>0.85</v>
      </c>
      <c r="E66" s="163">
        <v>0.9</v>
      </c>
    </row>
    <row r="67" spans="1:5" x14ac:dyDescent="0.25">
      <c r="A67" s="163">
        <v>4</v>
      </c>
      <c r="B67" s="163">
        <v>0.65</v>
      </c>
      <c r="C67" s="163">
        <v>0.75</v>
      </c>
      <c r="D67" s="163">
        <v>0.8</v>
      </c>
      <c r="E67" s="163">
        <v>0.9</v>
      </c>
    </row>
    <row r="68" spans="1:5" x14ac:dyDescent="0.25">
      <c r="A68" s="163">
        <v>5</v>
      </c>
      <c r="B68" s="163">
        <v>0.6</v>
      </c>
      <c r="C68" s="163">
        <v>0.7</v>
      </c>
      <c r="D68" s="163">
        <v>0.8</v>
      </c>
      <c r="E68" s="163">
        <v>0.9</v>
      </c>
    </row>
    <row r="69" spans="1:5" x14ac:dyDescent="0.25">
      <c r="A69" s="163">
        <v>6</v>
      </c>
      <c r="B69" s="163">
        <v>0.6</v>
      </c>
      <c r="C69" s="163">
        <v>0.7</v>
      </c>
      <c r="D69" s="163">
        <v>0.8</v>
      </c>
      <c r="E69" s="163">
        <v>0.9</v>
      </c>
    </row>
    <row r="70" spans="1:5" x14ac:dyDescent="0.25">
      <c r="A70" s="163">
        <v>7</v>
      </c>
      <c r="B70" s="163">
        <v>0.53</v>
      </c>
      <c r="C70" s="163">
        <v>0.66</v>
      </c>
      <c r="D70" s="163">
        <v>0.76</v>
      </c>
      <c r="E70" s="163">
        <v>0.87</v>
      </c>
    </row>
    <row r="71" spans="1:5" x14ac:dyDescent="0.25">
      <c r="A71" s="163">
        <v>8</v>
      </c>
      <c r="B71" s="163">
        <v>0.5</v>
      </c>
      <c r="C71" s="163">
        <v>0.63</v>
      </c>
      <c r="D71" s="163">
        <v>0.74</v>
      </c>
      <c r="E71" s="163">
        <v>0.87</v>
      </c>
    </row>
    <row r="72" spans="1:5" x14ac:dyDescent="0.25">
      <c r="A72" s="163">
        <v>9</v>
      </c>
      <c r="B72" s="163">
        <v>0.47</v>
      </c>
      <c r="C72" s="163">
        <v>0.61</v>
      </c>
      <c r="D72" s="163">
        <v>0.73</v>
      </c>
      <c r="E72" s="163">
        <v>0.86</v>
      </c>
    </row>
    <row r="73" spans="1:5" x14ac:dyDescent="0.25">
      <c r="A73" s="163">
        <v>10</v>
      </c>
      <c r="B73" s="163">
        <v>0.45</v>
      </c>
      <c r="C73" s="163">
        <v>0.59</v>
      </c>
      <c r="D73" s="163">
        <v>0.72</v>
      </c>
      <c r="E73" s="163">
        <v>0.85</v>
      </c>
    </row>
    <row r="74" spans="1:5" x14ac:dyDescent="0.25">
      <c r="A74" s="163">
        <v>11</v>
      </c>
      <c r="B74" s="163">
        <v>0.43</v>
      </c>
      <c r="C74" s="163">
        <v>0.56999999999999995</v>
      </c>
      <c r="D74" s="163">
        <v>0.7</v>
      </c>
      <c r="E74" s="163">
        <v>0.85</v>
      </c>
    </row>
    <row r="75" spans="1:5" x14ac:dyDescent="0.25">
      <c r="A75" s="163">
        <v>12</v>
      </c>
      <c r="B75" s="163">
        <v>0.41</v>
      </c>
      <c r="C75" s="163">
        <v>0.56000000000000005</v>
      </c>
      <c r="D75" s="163">
        <v>0.69</v>
      </c>
      <c r="E75" s="163">
        <v>0.84</v>
      </c>
    </row>
    <row r="76" spans="1:5" x14ac:dyDescent="0.25">
      <c r="A76" s="163">
        <v>13</v>
      </c>
      <c r="B76" s="163">
        <v>0.39</v>
      </c>
      <c r="C76" s="163">
        <v>0.54</v>
      </c>
      <c r="D76" s="163">
        <v>0.68</v>
      </c>
      <c r="E76" s="163">
        <v>0.84</v>
      </c>
    </row>
    <row r="77" spans="1:5" x14ac:dyDescent="0.25">
      <c r="A77" s="163">
        <v>14</v>
      </c>
      <c r="B77" s="163">
        <v>0.37</v>
      </c>
      <c r="C77" s="163">
        <v>0.53</v>
      </c>
      <c r="D77" s="163">
        <v>0.68</v>
      </c>
      <c r="E77" s="163">
        <v>0.83</v>
      </c>
    </row>
    <row r="78" spans="1:5" x14ac:dyDescent="0.25">
      <c r="A78" s="163">
        <v>15</v>
      </c>
      <c r="B78" s="163">
        <v>0.35</v>
      </c>
      <c r="C78" s="163">
        <v>0.52</v>
      </c>
      <c r="D78" s="163">
        <v>0.67</v>
      </c>
      <c r="E78" s="163">
        <v>0.83</v>
      </c>
    </row>
    <row r="79" spans="1:5" x14ac:dyDescent="0.25">
      <c r="A79" s="163">
        <v>16</v>
      </c>
      <c r="B79" s="163">
        <v>0.34</v>
      </c>
      <c r="C79" s="163">
        <v>0.51</v>
      </c>
      <c r="D79" s="163">
        <v>0.66</v>
      </c>
      <c r="E79" s="163">
        <v>0.83</v>
      </c>
    </row>
    <row r="80" spans="1:5" x14ac:dyDescent="0.25">
      <c r="A80" s="163">
        <v>17</v>
      </c>
      <c r="B80" s="163">
        <v>0.33</v>
      </c>
      <c r="C80" s="163">
        <v>0.5</v>
      </c>
      <c r="D80" s="163">
        <v>0.65</v>
      </c>
      <c r="E80" s="163">
        <v>0.82</v>
      </c>
    </row>
    <row r="81" spans="1:5" x14ac:dyDescent="0.25">
      <c r="A81" s="163">
        <v>18</v>
      </c>
      <c r="B81" s="163">
        <v>0.31</v>
      </c>
      <c r="C81" s="163">
        <v>0.49</v>
      </c>
      <c r="D81" s="163">
        <v>0.65</v>
      </c>
      <c r="E81" s="163">
        <v>0.82</v>
      </c>
    </row>
    <row r="82" spans="1:5" x14ac:dyDescent="0.25">
      <c r="A82" s="163">
        <v>19</v>
      </c>
      <c r="B82" s="163">
        <v>0.3</v>
      </c>
      <c r="C82" s="163">
        <v>0.48</v>
      </c>
      <c r="D82" s="163">
        <v>0.64</v>
      </c>
      <c r="E82" s="163">
        <v>0.82</v>
      </c>
    </row>
    <row r="83" spans="1:5" x14ac:dyDescent="0.25">
      <c r="A83" s="163">
        <v>20</v>
      </c>
      <c r="B83" s="163">
        <v>0.28999999999999998</v>
      </c>
      <c r="C83" s="163">
        <v>0.47</v>
      </c>
      <c r="D83" s="163">
        <v>0.63</v>
      </c>
      <c r="E83" s="163">
        <v>0.81</v>
      </c>
    </row>
    <row r="85" spans="1:5" ht="17.399999999999999" x14ac:dyDescent="0.25">
      <c r="A85" s="164" t="s">
        <v>340</v>
      </c>
    </row>
    <row r="87" spans="1:5" ht="52.8" x14ac:dyDescent="0.25">
      <c r="A87" s="161" t="s">
        <v>341</v>
      </c>
      <c r="B87" s="161" t="s">
        <v>342</v>
      </c>
      <c r="C87" s="161" t="s">
        <v>343</v>
      </c>
      <c r="D87" s="161" t="s">
        <v>344</v>
      </c>
    </row>
    <row r="88" spans="1:5" x14ac:dyDescent="0.25">
      <c r="A88" s="163">
        <v>1.5</v>
      </c>
      <c r="B88" s="163">
        <v>12.1</v>
      </c>
      <c r="C88" s="163" t="s">
        <v>19</v>
      </c>
      <c r="D88" s="163">
        <v>13.3</v>
      </c>
    </row>
    <row r="89" spans="1:5" x14ac:dyDescent="0.25">
      <c r="A89" s="163">
        <v>2.5</v>
      </c>
      <c r="B89" s="163">
        <v>7.41</v>
      </c>
      <c r="C89" s="163" t="s">
        <v>19</v>
      </c>
      <c r="D89" s="163">
        <v>7.98</v>
      </c>
    </row>
    <row r="90" spans="1:5" x14ac:dyDescent="0.25">
      <c r="A90" s="163">
        <v>4</v>
      </c>
      <c r="B90" s="163">
        <v>4.6100000000000003</v>
      </c>
      <c r="C90" s="163" t="s">
        <v>19</v>
      </c>
      <c r="D90" s="163">
        <v>4.95</v>
      </c>
    </row>
    <row r="91" spans="1:5" x14ac:dyDescent="0.25">
      <c r="A91" s="163">
        <v>6</v>
      </c>
      <c r="B91" s="163">
        <v>3.08</v>
      </c>
      <c r="C91" s="163" t="s">
        <v>19</v>
      </c>
      <c r="D91" s="163">
        <v>3.3</v>
      </c>
    </row>
    <row r="92" spans="1:5" x14ac:dyDescent="0.25">
      <c r="A92" s="163">
        <v>10</v>
      </c>
      <c r="B92" s="163">
        <v>1.83</v>
      </c>
      <c r="C92" s="163" t="s">
        <v>19</v>
      </c>
      <c r="D92" s="163">
        <v>1.91</v>
      </c>
    </row>
    <row r="93" spans="1:5" x14ac:dyDescent="0.25">
      <c r="A93" s="163">
        <v>16</v>
      </c>
      <c r="B93" s="163">
        <v>1.1499999999999999</v>
      </c>
      <c r="C93" s="163">
        <v>1.91</v>
      </c>
      <c r="D93" s="163">
        <v>1.21</v>
      </c>
    </row>
    <row r="94" spans="1:5" x14ac:dyDescent="0.25">
      <c r="A94" s="163">
        <v>25</v>
      </c>
      <c r="B94" s="163">
        <v>0.72699999999999998</v>
      </c>
      <c r="C94" s="163">
        <v>1.2</v>
      </c>
      <c r="D94" s="163">
        <v>0.78</v>
      </c>
    </row>
    <row r="95" spans="1:5" x14ac:dyDescent="0.25">
      <c r="A95" s="163">
        <v>35</v>
      </c>
      <c r="B95" s="163">
        <v>0.52400000000000002</v>
      </c>
      <c r="C95" s="163">
        <v>0.86799999999999999</v>
      </c>
      <c r="D95" s="163">
        <v>0.55400000000000005</v>
      </c>
    </row>
    <row r="96" spans="1:5" x14ac:dyDescent="0.25">
      <c r="A96" s="163">
        <v>50</v>
      </c>
      <c r="B96" s="163">
        <v>0.38700000000000001</v>
      </c>
      <c r="C96" s="163">
        <v>0.64100000000000001</v>
      </c>
      <c r="D96" s="163">
        <v>0.38600000000000001</v>
      </c>
    </row>
    <row r="97" spans="1:4" x14ac:dyDescent="0.25">
      <c r="A97" s="163">
        <v>70</v>
      </c>
      <c r="B97" s="163">
        <v>0.26800000000000002</v>
      </c>
      <c r="C97" s="163">
        <v>0.443</v>
      </c>
      <c r="D97" s="163">
        <v>0.27200000000000002</v>
      </c>
    </row>
    <row r="98" spans="1:4" x14ac:dyDescent="0.25">
      <c r="A98" s="163">
        <v>95</v>
      </c>
      <c r="B98" s="163">
        <v>0.193</v>
      </c>
      <c r="C98" s="163">
        <v>0.32</v>
      </c>
      <c r="D98" s="163">
        <v>0.20599999999999999</v>
      </c>
    </row>
    <row r="99" spans="1:4" x14ac:dyDescent="0.25">
      <c r="A99" s="163">
        <v>120</v>
      </c>
      <c r="B99" s="163">
        <v>0.153</v>
      </c>
      <c r="C99" s="163">
        <v>0.253</v>
      </c>
      <c r="D99" s="163">
        <v>0.161</v>
      </c>
    </row>
    <row r="100" spans="1:4" x14ac:dyDescent="0.25">
      <c r="A100" s="163">
        <v>150</v>
      </c>
      <c r="B100" s="163">
        <v>0.124</v>
      </c>
      <c r="C100" s="163">
        <v>0.20599999999999999</v>
      </c>
      <c r="D100" s="163">
        <v>0.129</v>
      </c>
    </row>
    <row r="101" spans="1:4" x14ac:dyDescent="0.25">
      <c r="A101" s="163">
        <v>185</v>
      </c>
      <c r="B101" s="163">
        <v>9.9099999999999994E-2</v>
      </c>
      <c r="C101" s="163">
        <v>0.16400000000000001</v>
      </c>
      <c r="D101" s="163">
        <v>0.106</v>
      </c>
    </row>
    <row r="102" spans="1:4" x14ac:dyDescent="0.25">
      <c r="A102" s="163">
        <v>240</v>
      </c>
      <c r="B102" s="163">
        <v>7.5399999999999995E-2</v>
      </c>
      <c r="C102" s="163">
        <v>0.125</v>
      </c>
      <c r="D102" s="163">
        <v>8.0100000000000005E-2</v>
      </c>
    </row>
    <row r="103" spans="1:4" x14ac:dyDescent="0.25">
      <c r="A103" s="163">
        <v>300</v>
      </c>
      <c r="B103" s="163">
        <v>6.0100000000000001E-2</v>
      </c>
      <c r="C103" s="163">
        <v>0.1</v>
      </c>
      <c r="D103" s="163">
        <v>6.4100000000000004E-2</v>
      </c>
    </row>
    <row r="104" spans="1:4" x14ac:dyDescent="0.25">
      <c r="A104" s="163">
        <v>400</v>
      </c>
      <c r="B104" s="163">
        <v>4.7E-2</v>
      </c>
      <c r="C104" s="163">
        <v>7.7799999999999994E-2</v>
      </c>
      <c r="D104" s="163">
        <v>4.8599999999999997E-2</v>
      </c>
    </row>
    <row r="105" spans="1:4" x14ac:dyDescent="0.25">
      <c r="A105" s="163">
        <v>500</v>
      </c>
      <c r="B105" s="163">
        <v>3.6600000000000001E-2</v>
      </c>
      <c r="C105" s="163">
        <v>6.0499999999999998E-2</v>
      </c>
      <c r="D105" s="163">
        <v>3.8399999999999997E-2</v>
      </c>
    </row>
    <row r="106" spans="1:4" x14ac:dyDescent="0.25">
      <c r="A106" s="163">
        <v>630</v>
      </c>
      <c r="B106" s="163">
        <v>2.8299999999999999E-2</v>
      </c>
      <c r="C106" s="163">
        <v>4.6899999999999997E-2</v>
      </c>
      <c r="D106" s="163">
        <v>2.87E-2</v>
      </c>
    </row>
  </sheetData>
  <mergeCells count="2">
    <mergeCell ref="A4:B4"/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65"/>
  <sheetViews>
    <sheetView topLeftCell="A5" workbookViewId="0">
      <selection activeCell="A22" sqref="A22"/>
    </sheetView>
  </sheetViews>
  <sheetFormatPr defaultRowHeight="13.2" x14ac:dyDescent="0.25"/>
  <cols>
    <col min="1" max="1" width="8.33203125" customWidth="1"/>
    <col min="66" max="77" width="9.109375" style="112"/>
  </cols>
  <sheetData>
    <row r="1" spans="1:79" ht="13.8" thickBot="1" x14ac:dyDescent="0.3">
      <c r="A1" s="225" t="s">
        <v>18</v>
      </c>
      <c r="B1" s="225"/>
      <c r="C1" s="225"/>
      <c r="D1" s="225"/>
      <c r="E1" s="225"/>
      <c r="F1" s="225"/>
      <c r="G1" s="225"/>
      <c r="M1" s="225" t="s">
        <v>15</v>
      </c>
      <c r="N1" s="225"/>
      <c r="O1" s="225"/>
      <c r="P1" s="225"/>
      <c r="Q1" s="225"/>
      <c r="R1" s="225"/>
      <c r="S1" s="225"/>
      <c r="X1" s="225" t="s">
        <v>70</v>
      </c>
      <c r="Y1" s="225"/>
      <c r="Z1" s="225"/>
      <c r="AA1" s="225"/>
      <c r="AB1" s="225"/>
      <c r="AC1" s="225"/>
      <c r="AD1" s="225"/>
      <c r="AI1" s="225" t="s">
        <v>71</v>
      </c>
      <c r="AJ1" s="225"/>
      <c r="AK1" s="225"/>
      <c r="AL1" s="225"/>
      <c r="AM1" s="225"/>
      <c r="AN1" s="225"/>
      <c r="AO1" s="225"/>
      <c r="AT1" s="225" t="s">
        <v>26</v>
      </c>
      <c r="AU1" s="225"/>
      <c r="AV1" s="225"/>
      <c r="AW1" s="225"/>
      <c r="AX1" s="225"/>
      <c r="AY1" s="225"/>
      <c r="AZ1" s="225"/>
      <c r="BF1" s="25" t="s">
        <v>58</v>
      </c>
      <c r="BG1" s="26"/>
      <c r="BH1" s="26"/>
      <c r="BI1" s="26"/>
      <c r="BL1" s="117" t="s">
        <v>126</v>
      </c>
      <c r="BM1" s="117" t="s">
        <v>130</v>
      </c>
      <c r="BN1"/>
      <c r="BO1" s="121" t="s">
        <v>132</v>
      </c>
      <c r="BP1" s="122"/>
      <c r="BQ1" s="122"/>
      <c r="BR1" s="123"/>
      <c r="BS1" s="121" t="s">
        <v>133</v>
      </c>
      <c r="BT1" s="122"/>
      <c r="BU1" s="122"/>
      <c r="BV1" s="123"/>
      <c r="BW1" s="121" t="s">
        <v>134</v>
      </c>
      <c r="BX1" s="122"/>
      <c r="BY1" s="122"/>
      <c r="BZ1" s="123"/>
      <c r="CA1" s="111"/>
    </row>
    <row r="2" spans="1:79" s="53" customFormat="1" ht="13.5" customHeight="1" thickBot="1" x14ac:dyDescent="0.3">
      <c r="A2" s="226" t="s">
        <v>1</v>
      </c>
      <c r="B2" s="229" t="s">
        <v>8</v>
      </c>
      <c r="C2" s="107" t="s">
        <v>8</v>
      </c>
      <c r="D2" s="226" t="s">
        <v>1</v>
      </c>
      <c r="E2" s="231" t="s">
        <v>16</v>
      </c>
      <c r="F2" s="231"/>
      <c r="G2" s="232"/>
      <c r="H2" s="231" t="s">
        <v>17</v>
      </c>
      <c r="I2" s="231"/>
      <c r="J2" s="232"/>
      <c r="M2" s="226" t="s">
        <v>1</v>
      </c>
      <c r="N2" s="229" t="s">
        <v>8</v>
      </c>
      <c r="O2" s="107" t="s">
        <v>8</v>
      </c>
      <c r="P2" s="226" t="s">
        <v>1</v>
      </c>
      <c r="Q2" s="231" t="s">
        <v>16</v>
      </c>
      <c r="R2" s="231"/>
      <c r="S2" s="232"/>
      <c r="T2" s="231" t="s">
        <v>17</v>
      </c>
      <c r="U2" s="231"/>
      <c r="V2" s="232"/>
      <c r="X2" s="226" t="s">
        <v>1</v>
      </c>
      <c r="Y2" s="229" t="s">
        <v>8</v>
      </c>
      <c r="Z2" s="107" t="s">
        <v>8</v>
      </c>
      <c r="AA2" s="226" t="s">
        <v>1</v>
      </c>
      <c r="AB2" s="231" t="s">
        <v>21</v>
      </c>
      <c r="AC2" s="231"/>
      <c r="AD2" s="232"/>
      <c r="AE2" s="231" t="s">
        <v>17</v>
      </c>
      <c r="AF2" s="231"/>
      <c r="AG2" s="232"/>
      <c r="AI2" s="226" t="s">
        <v>1</v>
      </c>
      <c r="AJ2" s="229" t="s">
        <v>8</v>
      </c>
      <c r="AK2" s="107" t="s">
        <v>8</v>
      </c>
      <c r="AL2" s="226" t="s">
        <v>1</v>
      </c>
      <c r="AM2" s="231" t="s">
        <v>21</v>
      </c>
      <c r="AN2" s="231"/>
      <c r="AO2" s="232"/>
      <c r="AP2" s="231" t="s">
        <v>17</v>
      </c>
      <c r="AQ2" s="231"/>
      <c r="AR2" s="232"/>
      <c r="AT2" s="226" t="s">
        <v>1</v>
      </c>
      <c r="AU2" s="229" t="s">
        <v>8</v>
      </c>
      <c r="AV2" s="107" t="s">
        <v>8</v>
      </c>
      <c r="AW2" s="226" t="s">
        <v>1</v>
      </c>
      <c r="AX2" s="231" t="s">
        <v>16</v>
      </c>
      <c r="AY2" s="231"/>
      <c r="AZ2" s="232"/>
      <c r="BA2" s="231" t="s">
        <v>17</v>
      </c>
      <c r="BB2" s="231"/>
      <c r="BC2" s="232"/>
      <c r="BF2" s="27" t="s">
        <v>59</v>
      </c>
      <c r="BG2" s="109"/>
      <c r="BH2" s="235" t="s">
        <v>60</v>
      </c>
      <c r="BI2" s="236"/>
      <c r="BL2" s="66"/>
      <c r="BM2" s="66"/>
      <c r="BO2" s="124" t="s">
        <v>135</v>
      </c>
      <c r="BP2" s="125"/>
      <c r="BQ2" s="125"/>
      <c r="BR2" s="126"/>
      <c r="BS2" s="127"/>
      <c r="BT2" s="125"/>
      <c r="BU2" s="125"/>
      <c r="BV2" s="126"/>
      <c r="BW2" s="128"/>
      <c r="BX2" s="125"/>
      <c r="BY2" s="125"/>
      <c r="BZ2" s="126"/>
      <c r="CA2" s="112"/>
    </row>
    <row r="3" spans="1:79" s="53" customFormat="1" ht="16.5" customHeight="1" thickTop="1" thickBot="1" x14ac:dyDescent="0.3">
      <c r="A3" s="227"/>
      <c r="B3" s="230"/>
      <c r="C3" s="108" t="s">
        <v>8</v>
      </c>
      <c r="D3" s="227"/>
      <c r="E3" s="229" t="s">
        <v>2</v>
      </c>
      <c r="F3" s="108" t="s">
        <v>11</v>
      </c>
      <c r="G3" s="54" t="s">
        <v>9</v>
      </c>
      <c r="H3" s="229" t="s">
        <v>2</v>
      </c>
      <c r="I3" s="108" t="s">
        <v>11</v>
      </c>
      <c r="J3" s="55" t="s">
        <v>9</v>
      </c>
      <c r="K3" s="233" t="s">
        <v>22</v>
      </c>
      <c r="M3" s="227"/>
      <c r="N3" s="230"/>
      <c r="O3" s="108" t="s">
        <v>8</v>
      </c>
      <c r="P3" s="227"/>
      <c r="Q3" s="229" t="s">
        <v>2</v>
      </c>
      <c r="R3" s="108" t="s">
        <v>11</v>
      </c>
      <c r="S3" s="108" t="s">
        <v>9</v>
      </c>
      <c r="T3" s="229" t="s">
        <v>2</v>
      </c>
      <c r="U3" s="108" t="s">
        <v>11</v>
      </c>
      <c r="V3" s="108" t="s">
        <v>9</v>
      </c>
      <c r="X3" s="227"/>
      <c r="Y3" s="230"/>
      <c r="Z3" s="108" t="s">
        <v>8</v>
      </c>
      <c r="AA3" s="227"/>
      <c r="AB3" s="229" t="s">
        <v>2</v>
      </c>
      <c r="AC3" s="108" t="s">
        <v>11</v>
      </c>
      <c r="AD3" s="108" t="s">
        <v>9</v>
      </c>
      <c r="AE3" s="229" t="s">
        <v>2</v>
      </c>
      <c r="AF3" s="108" t="s">
        <v>11</v>
      </c>
      <c r="AG3" s="108" t="s">
        <v>9</v>
      </c>
      <c r="AI3" s="227"/>
      <c r="AJ3" s="230"/>
      <c r="AK3" s="108" t="s">
        <v>8</v>
      </c>
      <c r="AL3" s="227"/>
      <c r="AM3" s="229" t="s">
        <v>2</v>
      </c>
      <c r="AN3" s="108" t="s">
        <v>11</v>
      </c>
      <c r="AO3" s="108" t="s">
        <v>9</v>
      </c>
      <c r="AP3" s="229" t="s">
        <v>2</v>
      </c>
      <c r="AQ3" s="108" t="s">
        <v>11</v>
      </c>
      <c r="AR3" s="108" t="s">
        <v>9</v>
      </c>
      <c r="AT3" s="227"/>
      <c r="AU3" s="230"/>
      <c r="AV3" s="108" t="s">
        <v>8</v>
      </c>
      <c r="AW3" s="227"/>
      <c r="AX3" s="229" t="s">
        <v>2</v>
      </c>
      <c r="AY3" s="108" t="s">
        <v>11</v>
      </c>
      <c r="AZ3" s="54" t="s">
        <v>9</v>
      </c>
      <c r="BA3" s="229" t="s">
        <v>2</v>
      </c>
      <c r="BB3" s="108" t="s">
        <v>11</v>
      </c>
      <c r="BC3" s="55" t="s">
        <v>9</v>
      </c>
      <c r="BD3" s="233" t="s">
        <v>22</v>
      </c>
      <c r="BF3" s="33" t="s">
        <v>61</v>
      </c>
      <c r="BG3" s="34" t="s">
        <v>62</v>
      </c>
      <c r="BH3" s="34" t="s">
        <v>61</v>
      </c>
      <c r="BI3" s="34" t="s">
        <v>62</v>
      </c>
      <c r="BL3" s="118"/>
      <c r="BM3" s="118"/>
      <c r="BO3" s="129" t="s">
        <v>197</v>
      </c>
      <c r="BP3" s="130" t="s">
        <v>196</v>
      </c>
      <c r="BQ3" s="130" t="s">
        <v>136</v>
      </c>
      <c r="BR3" s="130" t="s">
        <v>137</v>
      </c>
      <c r="BS3" s="131" t="s">
        <v>197</v>
      </c>
      <c r="BT3" s="130" t="s">
        <v>196</v>
      </c>
      <c r="BU3" s="130" t="s">
        <v>136</v>
      </c>
      <c r="BV3" s="130" t="s">
        <v>137</v>
      </c>
      <c r="BW3" s="129" t="s">
        <v>197</v>
      </c>
      <c r="BX3" s="130" t="s">
        <v>196</v>
      </c>
      <c r="BY3" s="130" t="s">
        <v>136</v>
      </c>
      <c r="BZ3" s="130" t="s">
        <v>137</v>
      </c>
      <c r="CA3" s="111"/>
    </row>
    <row r="4" spans="1:79" s="53" customFormat="1" ht="66.599999999999994" thickBot="1" x14ac:dyDescent="0.3">
      <c r="A4" s="228"/>
      <c r="B4" s="56" t="s">
        <v>13</v>
      </c>
      <c r="C4" s="54" t="s">
        <v>24</v>
      </c>
      <c r="D4" s="228"/>
      <c r="E4" s="230"/>
      <c r="F4" s="54" t="s">
        <v>12</v>
      </c>
      <c r="G4" s="54" t="s">
        <v>20</v>
      </c>
      <c r="H4" s="230"/>
      <c r="I4" s="54" t="s">
        <v>12</v>
      </c>
      <c r="J4" s="55" t="s">
        <v>10</v>
      </c>
      <c r="K4" s="234"/>
      <c r="M4" s="228"/>
      <c r="N4" s="56" t="s">
        <v>13</v>
      </c>
      <c r="O4" s="54" t="s">
        <v>14</v>
      </c>
      <c r="P4" s="228"/>
      <c r="Q4" s="230"/>
      <c r="R4" s="54" t="s">
        <v>12</v>
      </c>
      <c r="S4" s="54" t="s">
        <v>20</v>
      </c>
      <c r="T4" s="230"/>
      <c r="U4" s="54" t="s">
        <v>12</v>
      </c>
      <c r="V4" s="54" t="s">
        <v>10</v>
      </c>
      <c r="X4" s="228"/>
      <c r="Y4" s="56" t="s">
        <v>13</v>
      </c>
      <c r="Z4" s="54" t="s">
        <v>24</v>
      </c>
      <c r="AA4" s="228"/>
      <c r="AB4" s="230"/>
      <c r="AC4" s="54" t="s">
        <v>12</v>
      </c>
      <c r="AD4" s="54" t="s">
        <v>20</v>
      </c>
      <c r="AE4" s="230"/>
      <c r="AF4" s="54" t="s">
        <v>12</v>
      </c>
      <c r="AG4" s="54" t="s">
        <v>10</v>
      </c>
      <c r="AI4" s="228"/>
      <c r="AJ4" s="56" t="s">
        <v>13</v>
      </c>
      <c r="AK4" s="54" t="s">
        <v>24</v>
      </c>
      <c r="AL4" s="228"/>
      <c r="AM4" s="230"/>
      <c r="AN4" s="54" t="s">
        <v>12</v>
      </c>
      <c r="AO4" s="54" t="s">
        <v>20</v>
      </c>
      <c r="AP4" s="230"/>
      <c r="AQ4" s="54" t="s">
        <v>12</v>
      </c>
      <c r="AR4" s="54" t="s">
        <v>10</v>
      </c>
      <c r="AT4" s="228"/>
      <c r="AU4" s="56" t="s">
        <v>13</v>
      </c>
      <c r="AV4" s="54" t="s">
        <v>24</v>
      </c>
      <c r="AW4" s="228"/>
      <c r="AX4" s="230"/>
      <c r="AY4" s="54" t="s">
        <v>12</v>
      </c>
      <c r="AZ4" s="54" t="s">
        <v>20</v>
      </c>
      <c r="BA4" s="230"/>
      <c r="BB4" s="54" t="s">
        <v>12</v>
      </c>
      <c r="BC4" s="55" t="s">
        <v>10</v>
      </c>
      <c r="BD4" s="234"/>
      <c r="BF4" s="28" t="s">
        <v>19</v>
      </c>
      <c r="BG4" s="29" t="s">
        <v>19</v>
      </c>
      <c r="BH4" s="28" t="s">
        <v>19</v>
      </c>
      <c r="BI4" s="29" t="s">
        <v>19</v>
      </c>
      <c r="BL4" s="66"/>
      <c r="BM4" s="66"/>
      <c r="BO4" s="132"/>
      <c r="BP4" s="133"/>
      <c r="BQ4" s="133"/>
      <c r="BR4" s="133"/>
      <c r="BS4" s="132"/>
      <c r="BT4" s="133"/>
      <c r="BU4" s="133"/>
      <c r="BV4" s="133"/>
      <c r="BW4" s="134"/>
      <c r="BX4" s="133"/>
      <c r="BY4" s="133"/>
      <c r="BZ4" s="133"/>
      <c r="CA4" s="115"/>
    </row>
    <row r="5" spans="1:79" ht="13.8" thickBot="1" x14ac:dyDescent="0.3">
      <c r="A5" s="1">
        <v>2.5</v>
      </c>
      <c r="B5" s="1">
        <v>30</v>
      </c>
      <c r="C5" s="1">
        <v>26</v>
      </c>
      <c r="D5" s="1">
        <v>2.5</v>
      </c>
      <c r="E5" s="1">
        <v>8.8699999999999992</v>
      </c>
      <c r="F5" s="1">
        <v>0.12</v>
      </c>
      <c r="G5" s="1">
        <v>9.6</v>
      </c>
      <c r="H5" s="1">
        <v>8.8699999999999992</v>
      </c>
      <c r="I5" s="1">
        <v>0.15</v>
      </c>
      <c r="J5" s="1">
        <v>5.4</v>
      </c>
      <c r="K5" s="2">
        <v>7.41</v>
      </c>
      <c r="M5" s="1">
        <v>2.5</v>
      </c>
      <c r="N5" s="1">
        <v>34</v>
      </c>
      <c r="O5" s="1">
        <v>29</v>
      </c>
      <c r="P5" s="1">
        <v>2.5</v>
      </c>
      <c r="Q5" s="1">
        <v>8.8699999999999992</v>
      </c>
      <c r="R5" s="1">
        <v>0.12</v>
      </c>
      <c r="S5" s="1">
        <v>9.6</v>
      </c>
      <c r="T5" s="1">
        <v>8.8699999999999992</v>
      </c>
      <c r="U5" s="1">
        <v>0.15</v>
      </c>
      <c r="V5" s="1">
        <v>5.4</v>
      </c>
      <c r="X5" s="1">
        <v>2.5</v>
      </c>
      <c r="Y5" s="1">
        <v>36</v>
      </c>
      <c r="Z5" s="1">
        <v>32</v>
      </c>
      <c r="AA5" s="1">
        <v>2.5</v>
      </c>
      <c r="AB5" s="1">
        <v>8.8699999999999992</v>
      </c>
      <c r="AC5" s="1">
        <v>0.12</v>
      </c>
      <c r="AD5" s="1">
        <v>9.6</v>
      </c>
      <c r="AE5" s="1">
        <v>8.8699999999999992</v>
      </c>
      <c r="AF5" s="1">
        <v>0.15</v>
      </c>
      <c r="AG5" s="1">
        <v>5.4</v>
      </c>
      <c r="AI5" s="1">
        <v>2.5</v>
      </c>
      <c r="AJ5" s="1">
        <v>37</v>
      </c>
      <c r="AK5" s="1">
        <v>29</v>
      </c>
      <c r="AL5" s="1">
        <v>2.5</v>
      </c>
      <c r="AM5" s="1">
        <v>8.8699999999999992</v>
      </c>
      <c r="AN5" s="1">
        <v>0.12</v>
      </c>
      <c r="AO5" s="1">
        <v>9.6</v>
      </c>
      <c r="AP5" s="1">
        <v>8.8699999999999992</v>
      </c>
      <c r="AQ5" s="1">
        <v>0.15</v>
      </c>
      <c r="AR5" s="1">
        <v>5.4</v>
      </c>
      <c r="AT5" s="1">
        <v>2.5</v>
      </c>
      <c r="AU5" s="1">
        <v>31</v>
      </c>
      <c r="AV5" s="1">
        <v>28</v>
      </c>
      <c r="AW5" s="1">
        <v>2.5</v>
      </c>
      <c r="AX5" s="1">
        <v>8.8699999999999992</v>
      </c>
      <c r="AY5" s="1">
        <v>0.12</v>
      </c>
      <c r="AZ5" s="1">
        <v>9.6</v>
      </c>
      <c r="BA5" s="1">
        <v>8.8699999999999992</v>
      </c>
      <c r="BB5" s="1">
        <v>0.15</v>
      </c>
      <c r="BC5" s="1">
        <v>5.4</v>
      </c>
      <c r="BD5" s="2">
        <v>7.41</v>
      </c>
      <c r="BF5" s="30">
        <v>0.2</v>
      </c>
      <c r="BG5" s="31">
        <v>0.18</v>
      </c>
      <c r="BH5" s="30">
        <v>0.21</v>
      </c>
      <c r="BI5" s="31">
        <v>0.18</v>
      </c>
      <c r="BJ5" s="1">
        <v>300</v>
      </c>
      <c r="BL5" s="119">
        <v>6</v>
      </c>
      <c r="BM5" s="119">
        <v>100</v>
      </c>
      <c r="BN5" s="116"/>
      <c r="BO5" s="135">
        <v>0.12</v>
      </c>
      <c r="BP5" s="137" t="s">
        <v>198</v>
      </c>
      <c r="BQ5" s="137" t="s">
        <v>19</v>
      </c>
      <c r="BR5" s="137" t="s">
        <v>139</v>
      </c>
      <c r="BS5" s="135">
        <v>0.16</v>
      </c>
      <c r="BT5" s="137" t="s">
        <v>198</v>
      </c>
      <c r="BU5" s="138"/>
      <c r="BV5" s="137" t="s">
        <v>138</v>
      </c>
      <c r="BW5" s="135">
        <v>0.16</v>
      </c>
      <c r="BX5" s="137" t="s">
        <v>199</v>
      </c>
      <c r="BY5" s="137" t="s">
        <v>140</v>
      </c>
      <c r="BZ5" s="137" t="s">
        <v>141</v>
      </c>
      <c r="CA5" s="115"/>
    </row>
    <row r="6" spans="1:79" ht="13.8" thickBot="1" x14ac:dyDescent="0.3">
      <c r="A6" s="3">
        <v>4</v>
      </c>
      <c r="B6" s="3">
        <v>35</v>
      </c>
      <c r="C6" s="3">
        <v>45</v>
      </c>
      <c r="D6" s="3">
        <v>4</v>
      </c>
      <c r="E6" s="3">
        <v>5.52</v>
      </c>
      <c r="F6" s="3">
        <v>0.12</v>
      </c>
      <c r="G6" s="3">
        <v>10.7</v>
      </c>
      <c r="H6" s="3">
        <v>5.52</v>
      </c>
      <c r="I6" s="3">
        <v>0.14000000000000001</v>
      </c>
      <c r="J6" s="3">
        <v>5.9</v>
      </c>
      <c r="K6" s="3">
        <v>4.6100000000000003</v>
      </c>
      <c r="M6" s="3">
        <v>4</v>
      </c>
      <c r="N6" s="3">
        <v>44</v>
      </c>
      <c r="O6" s="3">
        <v>37</v>
      </c>
      <c r="P6" s="3">
        <v>4</v>
      </c>
      <c r="Q6" s="3">
        <v>5.52</v>
      </c>
      <c r="R6" s="3">
        <v>0.12</v>
      </c>
      <c r="S6" s="3">
        <v>10.7</v>
      </c>
      <c r="T6" s="3">
        <v>5.52</v>
      </c>
      <c r="U6" s="3">
        <v>0.14000000000000001</v>
      </c>
      <c r="V6" s="3">
        <v>5.9</v>
      </c>
      <c r="X6" s="3">
        <v>4</v>
      </c>
      <c r="Y6" s="3">
        <v>49</v>
      </c>
      <c r="Z6" s="3">
        <v>42</v>
      </c>
      <c r="AA6" s="3">
        <v>4</v>
      </c>
      <c r="AB6" s="3">
        <v>5.52</v>
      </c>
      <c r="AC6" s="3">
        <v>0.12</v>
      </c>
      <c r="AD6" s="3">
        <v>10.7</v>
      </c>
      <c r="AE6" s="3">
        <v>5.52</v>
      </c>
      <c r="AF6" s="3">
        <v>0.14000000000000001</v>
      </c>
      <c r="AG6" s="3">
        <v>5.9</v>
      </c>
      <c r="AI6" s="3">
        <v>4</v>
      </c>
      <c r="AJ6" s="3">
        <v>50</v>
      </c>
      <c r="AK6" s="3">
        <v>40</v>
      </c>
      <c r="AL6" s="3">
        <v>4</v>
      </c>
      <c r="AM6" s="3">
        <v>5.52</v>
      </c>
      <c r="AN6" s="3">
        <v>0.12</v>
      </c>
      <c r="AO6" s="3">
        <v>10.7</v>
      </c>
      <c r="AP6" s="3">
        <v>5.52</v>
      </c>
      <c r="AQ6" s="3">
        <v>0.14000000000000001</v>
      </c>
      <c r="AR6" s="3">
        <v>5.9</v>
      </c>
      <c r="AT6" s="3">
        <v>4</v>
      </c>
      <c r="AU6" s="3">
        <v>42</v>
      </c>
      <c r="AV6" s="3">
        <v>37</v>
      </c>
      <c r="AW6" s="3">
        <v>4</v>
      </c>
      <c r="AX6" s="3">
        <v>5.52</v>
      </c>
      <c r="AY6" s="3">
        <v>0.12</v>
      </c>
      <c r="AZ6" s="3">
        <v>10.7</v>
      </c>
      <c r="BA6" s="3">
        <v>5.52</v>
      </c>
      <c r="BB6" s="3">
        <v>0.14000000000000001</v>
      </c>
      <c r="BC6" s="3">
        <v>5.9</v>
      </c>
      <c r="BD6" s="3">
        <v>4.6100000000000003</v>
      </c>
      <c r="BF6" s="30">
        <v>0.22</v>
      </c>
      <c r="BG6" s="31">
        <v>0.21</v>
      </c>
      <c r="BH6" s="30">
        <v>0.23</v>
      </c>
      <c r="BI6" s="31">
        <v>0.21</v>
      </c>
      <c r="BJ6" s="3">
        <v>240</v>
      </c>
      <c r="BL6" s="119">
        <v>10</v>
      </c>
      <c r="BM6" s="119">
        <v>125</v>
      </c>
      <c r="BN6" s="116"/>
      <c r="BO6" s="135">
        <v>0.16</v>
      </c>
      <c r="BP6" s="137" t="s">
        <v>198</v>
      </c>
      <c r="BQ6" s="137" t="s">
        <v>19</v>
      </c>
      <c r="BR6" s="137" t="s">
        <v>139</v>
      </c>
      <c r="BS6" s="135">
        <v>0.16</v>
      </c>
      <c r="BT6" s="137" t="s">
        <v>198</v>
      </c>
      <c r="BU6" s="138"/>
      <c r="BV6" s="137" t="s">
        <v>138</v>
      </c>
      <c r="BW6" s="135">
        <v>0.16</v>
      </c>
      <c r="BX6" s="137" t="s">
        <v>199</v>
      </c>
      <c r="BY6" s="137" t="s">
        <v>140</v>
      </c>
      <c r="BZ6" s="137" t="s">
        <v>141</v>
      </c>
      <c r="CA6" s="114"/>
    </row>
    <row r="7" spans="1:79" ht="13.8" thickBot="1" x14ac:dyDescent="0.3">
      <c r="A7" s="1">
        <v>6</v>
      </c>
      <c r="B7" s="1">
        <v>44</v>
      </c>
      <c r="C7" s="1">
        <v>58</v>
      </c>
      <c r="D7" s="1">
        <v>6</v>
      </c>
      <c r="E7" s="1">
        <v>3.69</v>
      </c>
      <c r="F7" s="1">
        <v>0.11</v>
      </c>
      <c r="G7" s="1">
        <v>11.9</v>
      </c>
      <c r="H7" s="1">
        <v>3.69</v>
      </c>
      <c r="I7" s="1">
        <v>0.14000000000000001</v>
      </c>
      <c r="J7" s="1">
        <v>6.5</v>
      </c>
      <c r="K7" s="1">
        <v>3.08</v>
      </c>
      <c r="M7" s="1">
        <v>6</v>
      </c>
      <c r="N7" s="1">
        <v>56</v>
      </c>
      <c r="O7" s="1">
        <v>46</v>
      </c>
      <c r="P7" s="1">
        <v>6</v>
      </c>
      <c r="Q7" s="1">
        <v>3.69</v>
      </c>
      <c r="R7" s="1">
        <v>0.11</v>
      </c>
      <c r="S7" s="1">
        <v>11.9</v>
      </c>
      <c r="T7" s="1">
        <v>3.69</v>
      </c>
      <c r="U7" s="1">
        <v>0.14000000000000001</v>
      </c>
      <c r="V7" s="1">
        <v>6.5</v>
      </c>
      <c r="X7" s="1">
        <v>6</v>
      </c>
      <c r="Y7" s="1">
        <v>63</v>
      </c>
      <c r="Z7" s="1">
        <v>54</v>
      </c>
      <c r="AA7" s="1">
        <v>6</v>
      </c>
      <c r="AB7" s="1">
        <v>3.69</v>
      </c>
      <c r="AC7" s="1">
        <v>0.11</v>
      </c>
      <c r="AD7" s="1">
        <v>11.9</v>
      </c>
      <c r="AE7" s="1">
        <v>3.69</v>
      </c>
      <c r="AF7" s="1">
        <v>0.14000000000000001</v>
      </c>
      <c r="AG7" s="1">
        <v>6.5</v>
      </c>
      <c r="AI7" s="1">
        <v>6</v>
      </c>
      <c r="AJ7" s="1">
        <v>65</v>
      </c>
      <c r="AK7" s="1">
        <v>53</v>
      </c>
      <c r="AL7" s="1">
        <v>6</v>
      </c>
      <c r="AM7" s="1">
        <v>3.69</v>
      </c>
      <c r="AN7" s="1">
        <v>0.11</v>
      </c>
      <c r="AO7" s="1">
        <v>11.9</v>
      </c>
      <c r="AP7" s="1">
        <v>3.69</v>
      </c>
      <c r="AQ7" s="1">
        <v>0.14000000000000001</v>
      </c>
      <c r="AR7" s="1">
        <v>6.5</v>
      </c>
      <c r="AT7" s="1">
        <v>6</v>
      </c>
      <c r="AU7" s="1">
        <v>54</v>
      </c>
      <c r="AV7" s="1">
        <v>48</v>
      </c>
      <c r="AW7" s="1">
        <v>6</v>
      </c>
      <c r="AX7" s="1">
        <v>3.69</v>
      </c>
      <c r="AY7" s="1">
        <v>0.11</v>
      </c>
      <c r="AZ7" s="1">
        <v>11.9</v>
      </c>
      <c r="BA7" s="1">
        <v>3.69</v>
      </c>
      <c r="BB7" s="1">
        <v>0.14000000000000001</v>
      </c>
      <c r="BC7" s="1">
        <v>6.5</v>
      </c>
      <c r="BD7" s="1">
        <v>3.08</v>
      </c>
      <c r="BF7" s="30">
        <v>0.26</v>
      </c>
      <c r="BG7" s="31">
        <v>0.25</v>
      </c>
      <c r="BH7" s="30">
        <v>0.27</v>
      </c>
      <c r="BI7" s="31">
        <v>0.26</v>
      </c>
      <c r="BJ7" s="1">
        <v>185</v>
      </c>
      <c r="BL7" s="119">
        <v>16</v>
      </c>
      <c r="BM7" s="119">
        <v>150</v>
      </c>
      <c r="BN7"/>
      <c r="BO7" s="135">
        <v>0.25</v>
      </c>
      <c r="BP7" s="137" t="s">
        <v>142</v>
      </c>
      <c r="BQ7" s="137" t="s">
        <v>19</v>
      </c>
      <c r="BR7" s="137" t="s">
        <v>138</v>
      </c>
      <c r="BS7" s="135">
        <v>0.25</v>
      </c>
      <c r="BT7" s="137">
        <v>4</v>
      </c>
      <c r="BU7" s="138"/>
      <c r="BV7" s="137" t="s">
        <v>143</v>
      </c>
      <c r="BW7" s="135">
        <v>0.25</v>
      </c>
      <c r="BX7" s="137">
        <v>6</v>
      </c>
      <c r="BY7" s="137" t="s">
        <v>140</v>
      </c>
      <c r="BZ7" s="137" t="s">
        <v>144</v>
      </c>
      <c r="CA7" s="111"/>
    </row>
    <row r="8" spans="1:79" ht="13.8" thickBot="1" x14ac:dyDescent="0.3">
      <c r="A8" s="3">
        <v>10</v>
      </c>
      <c r="B8" s="3">
        <v>59</v>
      </c>
      <c r="C8" s="3">
        <v>60</v>
      </c>
      <c r="D8" s="3">
        <v>10</v>
      </c>
      <c r="E8" s="3">
        <v>2.19</v>
      </c>
      <c r="F8" s="3">
        <v>0.1</v>
      </c>
      <c r="G8" s="3">
        <v>14.3</v>
      </c>
      <c r="H8" s="3">
        <v>2.19</v>
      </c>
      <c r="I8" s="3">
        <v>0.13</v>
      </c>
      <c r="J8" s="3">
        <v>7.7</v>
      </c>
      <c r="K8" s="3">
        <v>1.83</v>
      </c>
      <c r="M8" s="3">
        <v>10</v>
      </c>
      <c r="N8" s="3">
        <v>73</v>
      </c>
      <c r="O8" s="3">
        <v>61</v>
      </c>
      <c r="P8" s="3">
        <v>10</v>
      </c>
      <c r="Q8" s="3">
        <v>2.19</v>
      </c>
      <c r="R8" s="3">
        <v>0.1</v>
      </c>
      <c r="S8" s="3">
        <v>14.3</v>
      </c>
      <c r="T8" s="3">
        <v>2.19</v>
      </c>
      <c r="U8" s="3">
        <v>0.13</v>
      </c>
      <c r="V8" s="3">
        <v>7.7</v>
      </c>
      <c r="X8" s="3">
        <v>10</v>
      </c>
      <c r="Y8" s="3">
        <v>86</v>
      </c>
      <c r="Z8" s="3">
        <v>75</v>
      </c>
      <c r="AA8" s="3">
        <v>10</v>
      </c>
      <c r="AB8" s="3">
        <v>2.19</v>
      </c>
      <c r="AC8" s="3">
        <v>0.1</v>
      </c>
      <c r="AD8" s="3">
        <v>14.3</v>
      </c>
      <c r="AE8" s="3">
        <v>2.19</v>
      </c>
      <c r="AF8" s="3">
        <v>0.13</v>
      </c>
      <c r="AG8" s="3">
        <v>7.7</v>
      </c>
      <c r="AI8" s="3">
        <v>10</v>
      </c>
      <c r="AJ8" s="3">
        <v>90</v>
      </c>
      <c r="AK8" s="3">
        <v>74</v>
      </c>
      <c r="AL8" s="3">
        <v>10</v>
      </c>
      <c r="AM8" s="3">
        <v>2.19</v>
      </c>
      <c r="AN8" s="3">
        <v>0.1</v>
      </c>
      <c r="AO8" s="3">
        <v>14.3</v>
      </c>
      <c r="AP8" s="3">
        <v>2.19</v>
      </c>
      <c r="AQ8" s="3">
        <v>0.13</v>
      </c>
      <c r="AR8" s="3">
        <v>7.7</v>
      </c>
      <c r="AT8" s="3">
        <v>10</v>
      </c>
      <c r="AU8" s="3">
        <v>75</v>
      </c>
      <c r="AV8" s="3">
        <v>66</v>
      </c>
      <c r="AW8" s="3">
        <v>10</v>
      </c>
      <c r="AX8" s="3">
        <v>2.19</v>
      </c>
      <c r="AY8" s="3">
        <v>0.1</v>
      </c>
      <c r="AZ8" s="3">
        <v>14.3</v>
      </c>
      <c r="BA8" s="3">
        <v>2.19</v>
      </c>
      <c r="BB8" s="3">
        <v>0.13</v>
      </c>
      <c r="BC8" s="3">
        <v>7.7</v>
      </c>
      <c r="BD8" s="3">
        <v>1.83</v>
      </c>
      <c r="BF8" s="30">
        <v>0.3</v>
      </c>
      <c r="BG8" s="31">
        <v>0.3</v>
      </c>
      <c r="BH8" s="30">
        <v>0.32</v>
      </c>
      <c r="BI8" s="31">
        <v>0.31</v>
      </c>
      <c r="BJ8" s="3">
        <v>150</v>
      </c>
      <c r="BL8" s="119">
        <v>20</v>
      </c>
      <c r="BM8" s="119">
        <v>200</v>
      </c>
      <c r="BN8"/>
      <c r="BO8" s="135">
        <v>0.33</v>
      </c>
      <c r="BP8" s="137" t="s">
        <v>142</v>
      </c>
      <c r="BQ8" s="137" t="s">
        <v>19</v>
      </c>
      <c r="BR8" s="137" t="s">
        <v>141</v>
      </c>
      <c r="BS8" s="135">
        <v>0.33</v>
      </c>
      <c r="BT8" s="137">
        <v>4</v>
      </c>
      <c r="BU8" s="138"/>
      <c r="BV8" s="137" t="s">
        <v>141</v>
      </c>
      <c r="BW8" s="135">
        <v>0.33</v>
      </c>
      <c r="BX8" s="137">
        <v>10</v>
      </c>
      <c r="BY8" s="137" t="s">
        <v>140</v>
      </c>
      <c r="BZ8" s="137" t="s">
        <v>145</v>
      </c>
      <c r="CA8" s="111"/>
    </row>
    <row r="9" spans="1:79" ht="13.8" thickBot="1" x14ac:dyDescent="0.3">
      <c r="A9" s="1">
        <v>16</v>
      </c>
      <c r="B9" s="1">
        <v>91</v>
      </c>
      <c r="C9" s="1">
        <v>80</v>
      </c>
      <c r="D9" s="1">
        <v>16</v>
      </c>
      <c r="E9" s="1">
        <v>1.38</v>
      </c>
      <c r="F9" s="1">
        <v>0.1</v>
      </c>
      <c r="G9" s="1">
        <v>19.100000000000001</v>
      </c>
      <c r="H9" s="1">
        <v>1.38</v>
      </c>
      <c r="I9" s="1">
        <v>0.12</v>
      </c>
      <c r="J9" s="1">
        <v>9.3000000000000007</v>
      </c>
      <c r="K9" s="1">
        <v>1.1499999999999999</v>
      </c>
      <c r="M9" s="1">
        <v>16</v>
      </c>
      <c r="N9" s="1">
        <v>95</v>
      </c>
      <c r="O9" s="1">
        <v>79</v>
      </c>
      <c r="P9" s="1">
        <v>16</v>
      </c>
      <c r="Q9" s="1">
        <v>1.38</v>
      </c>
      <c r="R9" s="1">
        <v>0.1</v>
      </c>
      <c r="S9" s="1">
        <v>19.100000000000001</v>
      </c>
      <c r="T9" s="1">
        <v>1.38</v>
      </c>
      <c r="U9" s="1">
        <v>0.12</v>
      </c>
      <c r="V9" s="1">
        <v>9.3000000000000007</v>
      </c>
      <c r="X9" s="1">
        <v>16</v>
      </c>
      <c r="Y9" s="1">
        <v>115</v>
      </c>
      <c r="Z9" s="1">
        <v>100</v>
      </c>
      <c r="AA9" s="1">
        <v>16</v>
      </c>
      <c r="AB9" s="1">
        <v>1.38</v>
      </c>
      <c r="AC9" s="1">
        <v>0.1</v>
      </c>
      <c r="AD9" s="1">
        <v>19.100000000000001</v>
      </c>
      <c r="AE9" s="1">
        <v>1.38</v>
      </c>
      <c r="AF9" s="1">
        <v>0.12</v>
      </c>
      <c r="AG9" s="1">
        <v>9.3000000000000007</v>
      </c>
      <c r="AI9" s="1">
        <v>16</v>
      </c>
      <c r="AJ9" s="1">
        <v>121</v>
      </c>
      <c r="AK9" s="1">
        <v>101</v>
      </c>
      <c r="AL9" s="1">
        <v>16</v>
      </c>
      <c r="AM9" s="1">
        <v>1.38</v>
      </c>
      <c r="AN9" s="1">
        <v>0.1</v>
      </c>
      <c r="AO9" s="1">
        <v>19.100000000000001</v>
      </c>
      <c r="AP9" s="1">
        <v>1.38</v>
      </c>
      <c r="AQ9" s="1">
        <v>0.12</v>
      </c>
      <c r="AR9" s="1">
        <v>9.3000000000000007</v>
      </c>
      <c r="AT9" s="1">
        <v>16</v>
      </c>
      <c r="AU9" s="1">
        <v>100</v>
      </c>
      <c r="AV9" s="1">
        <v>88</v>
      </c>
      <c r="AW9" s="1">
        <v>16</v>
      </c>
      <c r="AX9" s="1">
        <v>1.38</v>
      </c>
      <c r="AY9" s="1">
        <v>0.1</v>
      </c>
      <c r="AZ9" s="1">
        <v>19.100000000000001</v>
      </c>
      <c r="BA9" s="1">
        <v>1.38</v>
      </c>
      <c r="BB9" s="1">
        <v>0.12</v>
      </c>
      <c r="BC9" s="1">
        <v>9.3000000000000007</v>
      </c>
      <c r="BD9" s="1">
        <v>1.1499999999999999</v>
      </c>
      <c r="BF9" s="30">
        <v>0.35</v>
      </c>
      <c r="BG9" s="31">
        <v>0.35</v>
      </c>
      <c r="BH9" s="30">
        <v>0.36</v>
      </c>
      <c r="BI9" s="31">
        <v>0.36</v>
      </c>
      <c r="BJ9" s="1">
        <v>120</v>
      </c>
      <c r="BL9" s="119">
        <v>25</v>
      </c>
      <c r="BM9" s="119">
        <v>250</v>
      </c>
      <c r="BN9"/>
      <c r="BO9" s="135">
        <v>0.5</v>
      </c>
      <c r="BP9" s="137" t="s">
        <v>146</v>
      </c>
      <c r="BQ9" s="137" t="s">
        <v>19</v>
      </c>
      <c r="BR9" s="137" t="s">
        <v>144</v>
      </c>
      <c r="BS9" s="135">
        <v>0.5</v>
      </c>
      <c r="BT9" s="137">
        <v>6</v>
      </c>
      <c r="BU9" s="137" t="s">
        <v>140</v>
      </c>
      <c r="BV9" s="137" t="s">
        <v>144</v>
      </c>
      <c r="BW9" s="135">
        <v>0.5</v>
      </c>
      <c r="BX9" s="137">
        <v>10</v>
      </c>
      <c r="BY9" s="137" t="s">
        <v>140</v>
      </c>
      <c r="BZ9" s="137" t="s">
        <v>147</v>
      </c>
      <c r="CA9" s="111"/>
    </row>
    <row r="10" spans="1:79" ht="13.8" thickBot="1" x14ac:dyDescent="0.3">
      <c r="A10" s="3">
        <v>25</v>
      </c>
      <c r="B10" s="3">
        <v>119</v>
      </c>
      <c r="C10" s="3">
        <v>105</v>
      </c>
      <c r="D10" s="3">
        <v>25</v>
      </c>
      <c r="E10" s="3">
        <v>0.87</v>
      </c>
      <c r="F10" s="3">
        <v>0.1</v>
      </c>
      <c r="G10" s="3">
        <v>23.3</v>
      </c>
      <c r="H10" s="3">
        <v>0.87</v>
      </c>
      <c r="I10" s="3">
        <v>0.11</v>
      </c>
      <c r="J10" s="3">
        <v>11.4</v>
      </c>
      <c r="K10" s="3">
        <v>0.73</v>
      </c>
      <c r="M10" s="3">
        <v>25</v>
      </c>
      <c r="N10" s="3">
        <v>121</v>
      </c>
      <c r="O10" s="3">
        <v>101</v>
      </c>
      <c r="P10" s="3">
        <v>25</v>
      </c>
      <c r="Q10" s="3">
        <v>0.87</v>
      </c>
      <c r="R10" s="3">
        <v>0.1</v>
      </c>
      <c r="S10" s="3">
        <v>23.3</v>
      </c>
      <c r="T10" s="3">
        <v>0.87</v>
      </c>
      <c r="U10" s="3">
        <v>0.11</v>
      </c>
      <c r="V10" s="3">
        <v>11.4</v>
      </c>
      <c r="X10" s="3">
        <v>25</v>
      </c>
      <c r="Y10" s="3">
        <v>149</v>
      </c>
      <c r="Z10" s="3">
        <v>127</v>
      </c>
      <c r="AA10" s="3">
        <v>25</v>
      </c>
      <c r="AB10" s="3">
        <v>0.87</v>
      </c>
      <c r="AC10" s="3">
        <v>0.1</v>
      </c>
      <c r="AD10" s="3">
        <v>23.3</v>
      </c>
      <c r="AE10" s="3">
        <v>0.87</v>
      </c>
      <c r="AF10" s="3">
        <v>0.11</v>
      </c>
      <c r="AG10" s="3">
        <v>11.4</v>
      </c>
      <c r="AI10" s="3">
        <v>25</v>
      </c>
      <c r="AJ10" s="3">
        <v>161</v>
      </c>
      <c r="AK10" s="3">
        <v>135</v>
      </c>
      <c r="AL10" s="3">
        <v>25</v>
      </c>
      <c r="AM10" s="3">
        <v>0.87</v>
      </c>
      <c r="AN10" s="3">
        <v>0.1</v>
      </c>
      <c r="AO10" s="3">
        <v>23.3</v>
      </c>
      <c r="AP10" s="3">
        <v>0.87</v>
      </c>
      <c r="AQ10" s="3">
        <v>0.11</v>
      </c>
      <c r="AR10" s="3">
        <v>11.4</v>
      </c>
      <c r="AT10" s="3">
        <v>25</v>
      </c>
      <c r="AU10" s="3">
        <v>133</v>
      </c>
      <c r="AV10" s="3">
        <v>117</v>
      </c>
      <c r="AW10" s="3">
        <v>25</v>
      </c>
      <c r="AX10" s="3">
        <v>0.87</v>
      </c>
      <c r="AY10" s="3">
        <v>0.1</v>
      </c>
      <c r="AZ10" s="3">
        <v>23.3</v>
      </c>
      <c r="BA10" s="3">
        <v>0.87</v>
      </c>
      <c r="BB10" s="3">
        <v>0.11</v>
      </c>
      <c r="BC10" s="3">
        <v>11.4</v>
      </c>
      <c r="BD10" s="3">
        <v>0.73</v>
      </c>
      <c r="BF10" s="30">
        <v>0.42</v>
      </c>
      <c r="BG10" s="31">
        <v>0.44</v>
      </c>
      <c r="BH10" s="30">
        <v>0.43</v>
      </c>
      <c r="BI10" s="31">
        <v>0.44</v>
      </c>
      <c r="BJ10" s="3">
        <v>95</v>
      </c>
      <c r="BL10" s="119">
        <v>32</v>
      </c>
      <c r="BM10" s="119">
        <v>300</v>
      </c>
      <c r="BN10"/>
      <c r="BO10" s="135">
        <v>0.75</v>
      </c>
      <c r="BP10" s="137" t="s">
        <v>146</v>
      </c>
      <c r="BQ10" s="137" t="s">
        <v>140</v>
      </c>
      <c r="BR10" s="137" t="s">
        <v>148</v>
      </c>
      <c r="BS10" s="135">
        <v>0.75</v>
      </c>
      <c r="BT10" s="137">
        <v>6</v>
      </c>
      <c r="BU10" s="137" t="s">
        <v>140</v>
      </c>
      <c r="BV10" s="137" t="s">
        <v>148</v>
      </c>
      <c r="BW10" s="135">
        <v>0.75</v>
      </c>
      <c r="BX10" s="137">
        <v>16</v>
      </c>
      <c r="BY10" s="137" t="s">
        <v>140</v>
      </c>
      <c r="BZ10" s="137" t="s">
        <v>149</v>
      </c>
      <c r="CA10" s="111"/>
    </row>
    <row r="11" spans="1:79" ht="13.8" thickBot="1" x14ac:dyDescent="0.3">
      <c r="A11" s="1">
        <v>35</v>
      </c>
      <c r="B11" s="1">
        <v>146</v>
      </c>
      <c r="C11" s="1">
        <v>128</v>
      </c>
      <c r="D11" s="1">
        <v>35</v>
      </c>
      <c r="E11" s="1">
        <v>0.63</v>
      </c>
      <c r="F11" s="1">
        <v>0.09</v>
      </c>
      <c r="G11" s="1">
        <v>26.3</v>
      </c>
      <c r="H11" s="1">
        <v>0.63</v>
      </c>
      <c r="I11" s="1">
        <v>0.11</v>
      </c>
      <c r="J11" s="1">
        <v>12.7</v>
      </c>
      <c r="K11" s="1">
        <v>0.52</v>
      </c>
      <c r="M11" s="1">
        <v>35</v>
      </c>
      <c r="N11" s="1">
        <v>146</v>
      </c>
      <c r="O11" s="1">
        <v>122</v>
      </c>
      <c r="P11" s="1">
        <v>35</v>
      </c>
      <c r="Q11" s="1">
        <v>0.63</v>
      </c>
      <c r="R11" s="1">
        <v>0.09</v>
      </c>
      <c r="S11" s="1">
        <v>26.3</v>
      </c>
      <c r="T11" s="1">
        <v>0.63</v>
      </c>
      <c r="U11" s="1">
        <v>0.11</v>
      </c>
      <c r="V11" s="1">
        <v>12.7</v>
      </c>
      <c r="X11" s="1">
        <v>35</v>
      </c>
      <c r="Y11" s="1">
        <v>185</v>
      </c>
      <c r="Z11" s="1">
        <v>158</v>
      </c>
      <c r="AA11" s="1">
        <v>35</v>
      </c>
      <c r="AB11" s="1">
        <v>0.63</v>
      </c>
      <c r="AC11" s="1">
        <v>0.09</v>
      </c>
      <c r="AD11" s="1">
        <v>26.3</v>
      </c>
      <c r="AE11" s="1">
        <v>0.63</v>
      </c>
      <c r="AF11" s="1">
        <v>0.11</v>
      </c>
      <c r="AG11" s="1">
        <v>12.7</v>
      </c>
      <c r="AI11" s="1">
        <v>35</v>
      </c>
      <c r="AJ11" s="1">
        <v>200</v>
      </c>
      <c r="AK11" s="1">
        <v>169</v>
      </c>
      <c r="AL11" s="1">
        <v>35</v>
      </c>
      <c r="AM11" s="1">
        <v>0.63</v>
      </c>
      <c r="AN11" s="1">
        <v>0.09</v>
      </c>
      <c r="AO11" s="1">
        <v>26.3</v>
      </c>
      <c r="AP11" s="1">
        <v>0.63</v>
      </c>
      <c r="AQ11" s="1">
        <v>0.11</v>
      </c>
      <c r="AR11" s="1">
        <v>12.7</v>
      </c>
      <c r="AT11" s="1">
        <v>35</v>
      </c>
      <c r="AU11" s="1">
        <v>164</v>
      </c>
      <c r="AV11" s="1">
        <v>144</v>
      </c>
      <c r="AW11" s="1">
        <v>35</v>
      </c>
      <c r="AX11" s="1">
        <v>0.63</v>
      </c>
      <c r="AY11" s="1">
        <v>0.09</v>
      </c>
      <c r="AZ11" s="1">
        <v>26.3</v>
      </c>
      <c r="BA11" s="1">
        <v>0.63</v>
      </c>
      <c r="BB11" s="1">
        <v>0.11</v>
      </c>
      <c r="BC11" s="1">
        <v>12.7</v>
      </c>
      <c r="BD11" s="1">
        <v>0.52</v>
      </c>
      <c r="BF11" s="30">
        <v>0.54</v>
      </c>
      <c r="BG11" s="31">
        <v>0.57999999999999996</v>
      </c>
      <c r="BH11" s="30">
        <v>0.56000000000000005</v>
      </c>
      <c r="BI11" s="31">
        <v>0.59</v>
      </c>
      <c r="BJ11" s="1">
        <v>70</v>
      </c>
      <c r="BL11" s="119">
        <v>40</v>
      </c>
      <c r="BM11" s="119">
        <v>400</v>
      </c>
      <c r="BN11"/>
      <c r="BO11" s="135">
        <v>1</v>
      </c>
      <c r="BP11" s="137" t="s">
        <v>150</v>
      </c>
      <c r="BQ11" s="137" t="s">
        <v>140</v>
      </c>
      <c r="BR11" s="137" t="s">
        <v>145</v>
      </c>
      <c r="BS11" s="135">
        <v>1</v>
      </c>
      <c r="BT11" s="137">
        <v>10</v>
      </c>
      <c r="BU11" s="137" t="s">
        <v>140</v>
      </c>
      <c r="BV11" s="137" t="s">
        <v>147</v>
      </c>
      <c r="BW11" s="135">
        <v>1</v>
      </c>
      <c r="BX11" s="137">
        <v>20</v>
      </c>
      <c r="BY11" s="137" t="s">
        <v>140</v>
      </c>
      <c r="BZ11" s="137" t="s">
        <v>151</v>
      </c>
      <c r="CA11" s="111"/>
    </row>
    <row r="12" spans="1:79" ht="13.8" thickBot="1" x14ac:dyDescent="0.3">
      <c r="A12" s="3">
        <v>50</v>
      </c>
      <c r="B12" s="3">
        <v>175</v>
      </c>
      <c r="C12" s="3">
        <v>154</v>
      </c>
      <c r="D12" s="3">
        <v>50</v>
      </c>
      <c r="E12" s="3">
        <v>0.46</v>
      </c>
      <c r="F12" s="3">
        <v>0.09</v>
      </c>
      <c r="G12" s="3">
        <v>30.4</v>
      </c>
      <c r="H12" s="3">
        <v>0.46</v>
      </c>
      <c r="I12" s="3">
        <v>0.11</v>
      </c>
      <c r="J12" s="3">
        <v>14.7</v>
      </c>
      <c r="K12" s="3">
        <v>0.39</v>
      </c>
      <c r="M12" s="3">
        <v>50</v>
      </c>
      <c r="N12" s="3">
        <v>173</v>
      </c>
      <c r="O12" s="3">
        <v>144</v>
      </c>
      <c r="P12" s="3">
        <v>50</v>
      </c>
      <c r="Q12" s="3">
        <v>0.46</v>
      </c>
      <c r="R12" s="3">
        <v>0.09</v>
      </c>
      <c r="S12" s="3">
        <v>30.4</v>
      </c>
      <c r="T12" s="3">
        <v>0.46</v>
      </c>
      <c r="U12" s="3">
        <v>0.11</v>
      </c>
      <c r="V12" s="3">
        <v>14.7</v>
      </c>
      <c r="X12" s="3">
        <v>50</v>
      </c>
      <c r="Y12" s="3">
        <v>225</v>
      </c>
      <c r="Z12" s="3">
        <v>192</v>
      </c>
      <c r="AA12" s="3">
        <v>50</v>
      </c>
      <c r="AB12" s="3">
        <v>0.46</v>
      </c>
      <c r="AC12" s="3">
        <v>0.09</v>
      </c>
      <c r="AD12" s="3">
        <v>30.4</v>
      </c>
      <c r="AE12" s="3">
        <v>0.46</v>
      </c>
      <c r="AF12" s="3">
        <v>0.11</v>
      </c>
      <c r="AG12" s="3">
        <v>14.7</v>
      </c>
      <c r="AI12" s="3">
        <v>50</v>
      </c>
      <c r="AJ12" s="3">
        <v>242</v>
      </c>
      <c r="AK12" s="3">
        <v>207</v>
      </c>
      <c r="AL12" s="3">
        <v>50</v>
      </c>
      <c r="AM12" s="3">
        <v>0.46</v>
      </c>
      <c r="AN12" s="3">
        <v>0.09</v>
      </c>
      <c r="AO12" s="3">
        <v>30.4</v>
      </c>
      <c r="AP12" s="3">
        <v>0.46</v>
      </c>
      <c r="AQ12" s="3">
        <v>0.11</v>
      </c>
      <c r="AR12" s="3">
        <v>14.7</v>
      </c>
      <c r="AT12" s="3">
        <v>50</v>
      </c>
      <c r="AU12" s="3">
        <v>198</v>
      </c>
      <c r="AV12" s="3">
        <v>175</v>
      </c>
      <c r="AW12" s="3">
        <v>50</v>
      </c>
      <c r="AX12" s="3">
        <v>0.46</v>
      </c>
      <c r="AY12" s="3">
        <v>0.09</v>
      </c>
      <c r="AZ12" s="3">
        <v>30.4</v>
      </c>
      <c r="BA12" s="3">
        <v>0.46</v>
      </c>
      <c r="BB12" s="3">
        <v>0.11</v>
      </c>
      <c r="BC12" s="3">
        <v>14.7</v>
      </c>
      <c r="BD12" s="3">
        <v>0.39</v>
      </c>
      <c r="BF12" s="30">
        <v>0.75</v>
      </c>
      <c r="BG12" s="31">
        <v>0.82</v>
      </c>
      <c r="BH12" s="30">
        <v>0.76</v>
      </c>
      <c r="BI12" s="31">
        <v>0.83</v>
      </c>
      <c r="BJ12" s="3">
        <v>50</v>
      </c>
      <c r="BL12" s="119">
        <v>50</v>
      </c>
      <c r="BM12" s="119">
        <v>500</v>
      </c>
      <c r="BN12"/>
      <c r="BO12" s="135">
        <v>1.5</v>
      </c>
      <c r="BP12" s="137" t="s">
        <v>150</v>
      </c>
      <c r="BQ12" s="137" t="s">
        <v>140</v>
      </c>
      <c r="BR12" s="137" t="s">
        <v>147</v>
      </c>
      <c r="BS12" s="135">
        <v>1.5</v>
      </c>
      <c r="BT12" s="137">
        <v>16</v>
      </c>
      <c r="BU12" s="137" t="s">
        <v>140</v>
      </c>
      <c r="BV12" s="137" t="s">
        <v>149</v>
      </c>
      <c r="BW12" s="135">
        <v>1.5</v>
      </c>
      <c r="BX12" s="137">
        <v>20</v>
      </c>
      <c r="BY12" s="137" t="s">
        <v>140</v>
      </c>
      <c r="BZ12" s="137" t="s">
        <v>152</v>
      </c>
      <c r="CA12" s="111"/>
    </row>
    <row r="13" spans="1:79" ht="13.8" thickBot="1" x14ac:dyDescent="0.3">
      <c r="A13" s="1">
        <v>70</v>
      </c>
      <c r="B13" s="1">
        <v>221</v>
      </c>
      <c r="C13" s="1">
        <v>194</v>
      </c>
      <c r="D13" s="1">
        <v>70</v>
      </c>
      <c r="E13" s="1">
        <v>0.32</v>
      </c>
      <c r="F13" s="1">
        <v>0.09</v>
      </c>
      <c r="G13" s="1">
        <v>35</v>
      </c>
      <c r="H13" s="1">
        <v>0.32</v>
      </c>
      <c r="I13" s="1">
        <v>0.1</v>
      </c>
      <c r="J13" s="1">
        <v>16.8</v>
      </c>
      <c r="K13" s="1">
        <v>0.27</v>
      </c>
      <c r="M13" s="1">
        <v>70</v>
      </c>
      <c r="N13" s="1">
        <v>213</v>
      </c>
      <c r="O13" s="1">
        <v>178</v>
      </c>
      <c r="P13" s="1">
        <v>70</v>
      </c>
      <c r="Q13" s="1">
        <v>0.32</v>
      </c>
      <c r="R13" s="1">
        <v>0.09</v>
      </c>
      <c r="S13" s="1">
        <v>35</v>
      </c>
      <c r="T13" s="1">
        <v>0.32</v>
      </c>
      <c r="U13" s="1">
        <v>0.1</v>
      </c>
      <c r="V13" s="1">
        <v>16.8</v>
      </c>
      <c r="X13" s="1">
        <v>70</v>
      </c>
      <c r="Y13" s="1">
        <v>289</v>
      </c>
      <c r="Z13" s="1">
        <v>246</v>
      </c>
      <c r="AA13" s="1">
        <v>70</v>
      </c>
      <c r="AB13" s="1">
        <v>0.32</v>
      </c>
      <c r="AC13" s="1">
        <v>0.09</v>
      </c>
      <c r="AD13" s="1">
        <v>35</v>
      </c>
      <c r="AE13" s="1">
        <v>0.32</v>
      </c>
      <c r="AF13" s="1">
        <v>0.1</v>
      </c>
      <c r="AG13" s="1">
        <v>16.8</v>
      </c>
      <c r="AI13" s="1">
        <v>70</v>
      </c>
      <c r="AJ13" s="1">
        <v>310</v>
      </c>
      <c r="AK13" s="1">
        <v>268</v>
      </c>
      <c r="AL13" s="1">
        <v>70</v>
      </c>
      <c r="AM13" s="1">
        <v>0.32</v>
      </c>
      <c r="AN13" s="1">
        <v>0.09</v>
      </c>
      <c r="AO13" s="1">
        <v>35</v>
      </c>
      <c r="AP13" s="1">
        <v>0.32</v>
      </c>
      <c r="AQ13" s="1">
        <v>0.1</v>
      </c>
      <c r="AR13" s="1">
        <v>16.8</v>
      </c>
      <c r="AT13" s="1">
        <v>70</v>
      </c>
      <c r="AU13" s="1">
        <v>253</v>
      </c>
      <c r="AV13" s="1">
        <v>222</v>
      </c>
      <c r="AW13" s="1">
        <v>70</v>
      </c>
      <c r="AX13" s="1">
        <v>0.32</v>
      </c>
      <c r="AY13" s="1">
        <v>0.09</v>
      </c>
      <c r="AZ13" s="1">
        <v>35</v>
      </c>
      <c r="BA13" s="1">
        <v>0.32</v>
      </c>
      <c r="BB13" s="1">
        <v>0.1</v>
      </c>
      <c r="BC13" s="1">
        <v>16.8</v>
      </c>
      <c r="BD13" s="1">
        <v>0.27</v>
      </c>
      <c r="BF13" s="30">
        <v>0.98</v>
      </c>
      <c r="BG13" s="31">
        <v>1.0900000000000001</v>
      </c>
      <c r="BH13" s="30">
        <v>0.99</v>
      </c>
      <c r="BI13" s="31">
        <v>1.1000000000000001</v>
      </c>
      <c r="BJ13" s="1">
        <v>35</v>
      </c>
      <c r="BL13" s="119">
        <v>63</v>
      </c>
      <c r="BM13" s="119">
        <v>600</v>
      </c>
      <c r="BN13"/>
      <c r="BO13" s="135">
        <v>2</v>
      </c>
      <c r="BP13" s="137" t="s">
        <v>153</v>
      </c>
      <c r="BQ13" s="137" t="s">
        <v>140</v>
      </c>
      <c r="BR13" s="137" t="s">
        <v>151</v>
      </c>
      <c r="BS13" s="135">
        <v>2</v>
      </c>
      <c r="BT13" s="137">
        <v>20</v>
      </c>
      <c r="BU13" s="137" t="s">
        <v>140</v>
      </c>
      <c r="BV13" s="137" t="s">
        <v>151</v>
      </c>
      <c r="BW13" s="135">
        <v>2</v>
      </c>
      <c r="BX13" s="137">
        <v>20</v>
      </c>
      <c r="BY13" s="137" t="s">
        <v>140</v>
      </c>
      <c r="BZ13" s="137" t="s">
        <v>154</v>
      </c>
      <c r="CA13" s="111"/>
    </row>
    <row r="14" spans="1:79" ht="13.8" thickBot="1" x14ac:dyDescent="0.3">
      <c r="A14" s="3">
        <v>95</v>
      </c>
      <c r="B14" s="3">
        <v>255</v>
      </c>
      <c r="C14" s="3">
        <v>233</v>
      </c>
      <c r="D14" s="3">
        <v>95</v>
      </c>
      <c r="E14" s="3">
        <v>0.23</v>
      </c>
      <c r="F14" s="3">
        <v>0.09</v>
      </c>
      <c r="G14" s="3">
        <v>40</v>
      </c>
      <c r="H14" s="3">
        <v>0.23</v>
      </c>
      <c r="I14" s="3">
        <v>0.1</v>
      </c>
      <c r="J14" s="3">
        <v>19.2</v>
      </c>
      <c r="K14" s="3">
        <v>0.19</v>
      </c>
      <c r="M14" s="3">
        <v>95</v>
      </c>
      <c r="N14" s="3">
        <v>252</v>
      </c>
      <c r="O14" s="3">
        <v>211</v>
      </c>
      <c r="P14" s="3">
        <v>95</v>
      </c>
      <c r="Q14" s="3">
        <v>0.23</v>
      </c>
      <c r="R14" s="3">
        <v>0.09</v>
      </c>
      <c r="S14" s="3">
        <v>40</v>
      </c>
      <c r="T14" s="3">
        <v>0.23</v>
      </c>
      <c r="U14" s="3">
        <v>0.1</v>
      </c>
      <c r="V14" s="3">
        <v>19.2</v>
      </c>
      <c r="X14" s="3">
        <v>95</v>
      </c>
      <c r="Y14" s="3">
        <v>352</v>
      </c>
      <c r="Z14" s="3">
        <v>298</v>
      </c>
      <c r="AA14" s="3">
        <v>95</v>
      </c>
      <c r="AB14" s="3">
        <v>0.23</v>
      </c>
      <c r="AC14" s="3">
        <v>0.09</v>
      </c>
      <c r="AD14" s="3">
        <v>40</v>
      </c>
      <c r="AE14" s="3">
        <v>0.23</v>
      </c>
      <c r="AF14" s="3">
        <v>0.1</v>
      </c>
      <c r="AG14" s="3">
        <v>19.2</v>
      </c>
      <c r="AI14" s="3">
        <v>95</v>
      </c>
      <c r="AJ14" s="3">
        <v>377</v>
      </c>
      <c r="AK14" s="3">
        <v>328</v>
      </c>
      <c r="AL14" s="3">
        <v>95</v>
      </c>
      <c r="AM14" s="3">
        <v>0.23</v>
      </c>
      <c r="AN14" s="3">
        <v>0.09</v>
      </c>
      <c r="AO14" s="3">
        <v>40</v>
      </c>
      <c r="AP14" s="3">
        <v>0.23</v>
      </c>
      <c r="AQ14" s="3">
        <v>0.1</v>
      </c>
      <c r="AR14" s="3">
        <v>19.2</v>
      </c>
      <c r="AT14" s="3">
        <v>95</v>
      </c>
      <c r="AU14" s="3">
        <v>306</v>
      </c>
      <c r="AV14" s="3">
        <v>269</v>
      </c>
      <c r="AW14" s="3">
        <v>95</v>
      </c>
      <c r="AX14" s="3">
        <v>0.23</v>
      </c>
      <c r="AY14" s="3">
        <v>0.09</v>
      </c>
      <c r="AZ14" s="3">
        <v>40</v>
      </c>
      <c r="BA14" s="3">
        <v>0.23</v>
      </c>
      <c r="BB14" s="3">
        <v>0.1</v>
      </c>
      <c r="BC14" s="3">
        <v>19.2</v>
      </c>
      <c r="BD14" s="3">
        <v>0.19</v>
      </c>
      <c r="BF14" s="30">
        <v>1.32</v>
      </c>
      <c r="BG14" s="31">
        <v>1.5</v>
      </c>
      <c r="BH14" s="30">
        <v>1.34</v>
      </c>
      <c r="BI14" s="31">
        <v>1.51</v>
      </c>
      <c r="BJ14" s="3">
        <v>25</v>
      </c>
      <c r="BL14" s="119">
        <v>80</v>
      </c>
      <c r="BM14" s="119">
        <v>800</v>
      </c>
      <c r="BN14"/>
      <c r="BO14" s="135">
        <v>3</v>
      </c>
      <c r="BP14" s="137" t="s">
        <v>153</v>
      </c>
      <c r="BQ14" s="137" t="s">
        <v>140</v>
      </c>
      <c r="BR14" s="137" t="s">
        <v>155</v>
      </c>
      <c r="BS14" s="135">
        <v>3</v>
      </c>
      <c r="BT14" s="137">
        <v>20</v>
      </c>
      <c r="BU14" s="137" t="s">
        <v>140</v>
      </c>
      <c r="BV14" s="137" t="s">
        <v>152</v>
      </c>
      <c r="BW14" s="135">
        <v>3</v>
      </c>
      <c r="BX14" s="137">
        <v>20</v>
      </c>
      <c r="BY14" s="137" t="s">
        <v>156</v>
      </c>
      <c r="BZ14" s="137" t="s">
        <v>157</v>
      </c>
      <c r="CA14" s="111"/>
    </row>
    <row r="15" spans="1:79" ht="13.8" thickBot="1" x14ac:dyDescent="0.3">
      <c r="A15" s="1">
        <v>120</v>
      </c>
      <c r="B15" s="1">
        <v>305</v>
      </c>
      <c r="C15" s="1">
        <v>268</v>
      </c>
      <c r="D15" s="1">
        <v>120</v>
      </c>
      <c r="E15" s="1">
        <v>0.19</v>
      </c>
      <c r="F15" s="1">
        <v>0.09</v>
      </c>
      <c r="G15" s="1">
        <v>44.8</v>
      </c>
      <c r="H15" s="1">
        <v>0.19</v>
      </c>
      <c r="I15" s="1">
        <v>0.1</v>
      </c>
      <c r="J15" s="1">
        <v>21.3</v>
      </c>
      <c r="K15" s="1">
        <v>0.15</v>
      </c>
      <c r="M15" s="1">
        <v>120</v>
      </c>
      <c r="N15" s="1">
        <v>287</v>
      </c>
      <c r="O15" s="1">
        <v>240</v>
      </c>
      <c r="P15" s="1">
        <v>120</v>
      </c>
      <c r="Q15" s="1">
        <v>0.19</v>
      </c>
      <c r="R15" s="1">
        <v>0.09</v>
      </c>
      <c r="S15" s="1">
        <v>44.8</v>
      </c>
      <c r="T15" s="1">
        <v>0.19</v>
      </c>
      <c r="U15" s="1">
        <v>0.1</v>
      </c>
      <c r="V15" s="1">
        <v>21.3</v>
      </c>
      <c r="X15" s="1">
        <v>120</v>
      </c>
      <c r="Y15" s="1">
        <v>410</v>
      </c>
      <c r="Z15" s="1">
        <v>346</v>
      </c>
      <c r="AA15" s="1">
        <v>120</v>
      </c>
      <c r="AB15" s="1">
        <v>0.19</v>
      </c>
      <c r="AC15" s="1">
        <v>0.09</v>
      </c>
      <c r="AD15" s="1">
        <v>44.8</v>
      </c>
      <c r="AE15" s="1">
        <v>0.19</v>
      </c>
      <c r="AF15" s="1">
        <v>0.1</v>
      </c>
      <c r="AG15" s="1">
        <v>21.3</v>
      </c>
      <c r="AI15" s="1">
        <v>120</v>
      </c>
      <c r="AJ15" s="1">
        <v>437</v>
      </c>
      <c r="AK15" s="1">
        <v>383</v>
      </c>
      <c r="AL15" s="1">
        <v>120</v>
      </c>
      <c r="AM15" s="1">
        <v>0.19</v>
      </c>
      <c r="AN15" s="1">
        <v>0.09</v>
      </c>
      <c r="AO15" s="1">
        <v>44.8</v>
      </c>
      <c r="AP15" s="1">
        <v>0.19</v>
      </c>
      <c r="AQ15" s="1">
        <v>0.1</v>
      </c>
      <c r="AR15" s="1">
        <v>21.3</v>
      </c>
      <c r="AT15" s="1">
        <v>120</v>
      </c>
      <c r="AU15" s="1">
        <v>354</v>
      </c>
      <c r="AV15" s="1">
        <v>312</v>
      </c>
      <c r="AW15" s="1">
        <v>120</v>
      </c>
      <c r="AX15" s="1">
        <v>0.19</v>
      </c>
      <c r="AY15" s="1">
        <v>0.09</v>
      </c>
      <c r="AZ15" s="1">
        <v>44.8</v>
      </c>
      <c r="BA15" s="1">
        <v>0.19</v>
      </c>
      <c r="BB15" s="1">
        <v>0.1</v>
      </c>
      <c r="BC15" s="1">
        <v>21.3</v>
      </c>
      <c r="BD15" s="1">
        <v>0.15</v>
      </c>
      <c r="BF15" s="30">
        <v>2.0299999999999998</v>
      </c>
      <c r="BG15" s="31">
        <v>2.34</v>
      </c>
      <c r="BH15" s="30">
        <v>2.0499999999999998</v>
      </c>
      <c r="BI15" s="31">
        <v>2.35</v>
      </c>
      <c r="BJ15" s="1">
        <v>16</v>
      </c>
      <c r="BL15" s="119">
        <v>100</v>
      </c>
      <c r="BM15" s="119">
        <v>1000</v>
      </c>
      <c r="BN15"/>
      <c r="BO15" s="135">
        <v>4</v>
      </c>
      <c r="BP15" s="137" t="s">
        <v>153</v>
      </c>
      <c r="BQ15" s="137" t="s">
        <v>140</v>
      </c>
      <c r="BR15" s="137" t="s">
        <v>152</v>
      </c>
      <c r="BS15" s="135">
        <v>4</v>
      </c>
      <c r="BT15" s="137">
        <v>20</v>
      </c>
      <c r="BU15" s="137" t="s">
        <v>140</v>
      </c>
      <c r="BV15" s="137" t="s">
        <v>154</v>
      </c>
      <c r="BW15" s="135">
        <v>4</v>
      </c>
      <c r="BX15" s="137">
        <v>25</v>
      </c>
      <c r="BY15" s="137" t="s">
        <v>158</v>
      </c>
      <c r="BZ15" s="137" t="s">
        <v>159</v>
      </c>
      <c r="CA15" s="113"/>
    </row>
    <row r="16" spans="1:79" ht="13.8" thickBot="1" x14ac:dyDescent="0.3">
      <c r="A16" s="3">
        <v>150</v>
      </c>
      <c r="B16" s="3">
        <v>349</v>
      </c>
      <c r="C16" s="3">
        <v>307</v>
      </c>
      <c r="D16" s="3">
        <v>150</v>
      </c>
      <c r="E16" s="3">
        <v>0.15</v>
      </c>
      <c r="F16" s="3">
        <v>0.09</v>
      </c>
      <c r="G16" s="3">
        <v>50.8</v>
      </c>
      <c r="H16" s="3">
        <v>0.15</v>
      </c>
      <c r="I16" s="3">
        <v>0.1</v>
      </c>
      <c r="J16" s="3">
        <v>23.7</v>
      </c>
      <c r="K16" s="3">
        <v>0.12</v>
      </c>
      <c r="M16" s="3">
        <v>150</v>
      </c>
      <c r="N16" s="3">
        <v>324</v>
      </c>
      <c r="O16" s="3">
        <v>271</v>
      </c>
      <c r="P16" s="3">
        <v>150</v>
      </c>
      <c r="Q16" s="3">
        <v>0.15</v>
      </c>
      <c r="R16" s="3">
        <v>0.09</v>
      </c>
      <c r="S16" s="3">
        <v>50.8</v>
      </c>
      <c r="T16" s="3">
        <v>0.15</v>
      </c>
      <c r="U16" s="3">
        <v>0.1</v>
      </c>
      <c r="V16" s="3">
        <v>23.7</v>
      </c>
      <c r="X16" s="3">
        <v>150</v>
      </c>
      <c r="Y16" s="3">
        <v>473</v>
      </c>
      <c r="Z16" s="3">
        <v>399</v>
      </c>
      <c r="AA16" s="3">
        <v>150</v>
      </c>
      <c r="AB16" s="3">
        <v>0.15</v>
      </c>
      <c r="AC16" s="3">
        <v>0.09</v>
      </c>
      <c r="AD16" s="3">
        <v>50.8</v>
      </c>
      <c r="AE16" s="3">
        <v>0.15</v>
      </c>
      <c r="AF16" s="3">
        <v>0.1</v>
      </c>
      <c r="AG16" s="3">
        <v>23.7</v>
      </c>
      <c r="AI16" s="3">
        <v>150</v>
      </c>
      <c r="AJ16" s="3">
        <v>504</v>
      </c>
      <c r="AK16" s="3">
        <v>444</v>
      </c>
      <c r="AL16" s="3">
        <v>150</v>
      </c>
      <c r="AM16" s="3">
        <v>0.15</v>
      </c>
      <c r="AN16" s="3">
        <v>0.09</v>
      </c>
      <c r="AO16" s="3">
        <v>50.8</v>
      </c>
      <c r="AP16" s="3">
        <v>0.15</v>
      </c>
      <c r="AQ16" s="3">
        <v>0.1</v>
      </c>
      <c r="AR16" s="3">
        <v>23.7</v>
      </c>
      <c r="AT16" s="3">
        <v>150</v>
      </c>
      <c r="AU16" s="3">
        <v>407</v>
      </c>
      <c r="AV16" s="3">
        <v>358</v>
      </c>
      <c r="AW16" s="3">
        <v>150</v>
      </c>
      <c r="AX16" s="3">
        <v>0.15</v>
      </c>
      <c r="AY16" s="3">
        <v>0.09</v>
      </c>
      <c r="AZ16" s="3">
        <v>50.8</v>
      </c>
      <c r="BA16" s="3">
        <v>0.15</v>
      </c>
      <c r="BB16" s="3">
        <v>0.1</v>
      </c>
      <c r="BC16" s="3">
        <v>23.7</v>
      </c>
      <c r="BD16" s="3">
        <v>0.12</v>
      </c>
      <c r="BF16" s="30">
        <v>3.2</v>
      </c>
      <c r="BG16" s="31">
        <v>3.7</v>
      </c>
      <c r="BH16" s="30">
        <v>3.2</v>
      </c>
      <c r="BI16" s="31">
        <v>3.7</v>
      </c>
      <c r="BJ16" s="3">
        <v>10</v>
      </c>
      <c r="BL16" s="119">
        <v>125</v>
      </c>
      <c r="BM16" s="119">
        <v>1200</v>
      </c>
      <c r="BN16"/>
      <c r="BO16" s="135">
        <v>5</v>
      </c>
      <c r="BP16" s="137" t="s">
        <v>153</v>
      </c>
      <c r="BQ16" s="137" t="s">
        <v>140</v>
      </c>
      <c r="BR16" s="137" t="s">
        <v>154</v>
      </c>
      <c r="BS16" s="135">
        <v>5</v>
      </c>
      <c r="BT16" s="137">
        <v>20</v>
      </c>
      <c r="BU16" s="137" t="s">
        <v>140</v>
      </c>
      <c r="BV16" s="137" t="s">
        <v>157</v>
      </c>
      <c r="BW16" s="135">
        <v>5</v>
      </c>
      <c r="BX16" s="137">
        <v>25</v>
      </c>
      <c r="BY16" s="137" t="s">
        <v>158</v>
      </c>
      <c r="BZ16" s="137" t="s">
        <v>159</v>
      </c>
      <c r="CA16" s="113"/>
    </row>
    <row r="17" spans="1:79" ht="13.8" thickBot="1" x14ac:dyDescent="0.3">
      <c r="A17" s="1">
        <v>185</v>
      </c>
      <c r="B17" s="1">
        <v>395</v>
      </c>
      <c r="C17" s="1">
        <v>348</v>
      </c>
      <c r="D17" s="1">
        <v>185</v>
      </c>
      <c r="E17" s="1">
        <v>0.12</v>
      </c>
      <c r="F17" s="4">
        <v>0.09</v>
      </c>
      <c r="G17" s="1">
        <v>55.7</v>
      </c>
      <c r="H17" s="1">
        <v>0.12</v>
      </c>
      <c r="I17" s="4">
        <v>0.1</v>
      </c>
      <c r="J17" s="1">
        <v>25.8</v>
      </c>
      <c r="K17" s="1">
        <v>9.9000000000000005E-2</v>
      </c>
      <c r="M17" s="1">
        <v>185</v>
      </c>
      <c r="N17" s="1">
        <v>363</v>
      </c>
      <c r="O17" s="1">
        <v>304</v>
      </c>
      <c r="P17" s="1">
        <v>185</v>
      </c>
      <c r="Q17" s="1">
        <v>0.12</v>
      </c>
      <c r="R17" s="4">
        <v>0.09</v>
      </c>
      <c r="S17" s="1">
        <v>55.7</v>
      </c>
      <c r="T17" s="1">
        <v>0.12</v>
      </c>
      <c r="U17" s="4">
        <v>0.1</v>
      </c>
      <c r="V17" s="1">
        <v>25.8</v>
      </c>
      <c r="X17" s="1">
        <v>185</v>
      </c>
      <c r="Y17" s="1">
        <v>542</v>
      </c>
      <c r="Z17" s="1">
        <v>456</v>
      </c>
      <c r="AA17" s="1">
        <v>185</v>
      </c>
      <c r="AB17" s="1">
        <v>0.12</v>
      </c>
      <c r="AC17" s="4">
        <v>0.09</v>
      </c>
      <c r="AD17" s="1">
        <v>55.7</v>
      </c>
      <c r="AE17" s="1">
        <v>0.12</v>
      </c>
      <c r="AF17" s="4">
        <v>0.1</v>
      </c>
      <c r="AG17" s="1">
        <v>25.8</v>
      </c>
      <c r="AI17" s="1">
        <v>185</v>
      </c>
      <c r="AJ17" s="1">
        <v>575</v>
      </c>
      <c r="AK17" s="1">
        <v>510</v>
      </c>
      <c r="AL17" s="1">
        <v>185</v>
      </c>
      <c r="AM17" s="1">
        <v>0.12</v>
      </c>
      <c r="AN17" s="4">
        <v>0.09</v>
      </c>
      <c r="AO17" s="1">
        <v>55.7</v>
      </c>
      <c r="AP17" s="1">
        <v>0.12</v>
      </c>
      <c r="AQ17" s="4">
        <v>0.1</v>
      </c>
      <c r="AR17" s="1">
        <v>25.8</v>
      </c>
      <c r="AT17" s="1">
        <v>185</v>
      </c>
      <c r="AU17" s="1">
        <v>464</v>
      </c>
      <c r="AV17" s="1">
        <v>408</v>
      </c>
      <c r="AW17" s="1">
        <v>185</v>
      </c>
      <c r="AX17" s="1">
        <v>0.12</v>
      </c>
      <c r="AY17" s="4">
        <v>0.09</v>
      </c>
      <c r="AZ17" s="1">
        <v>55.7</v>
      </c>
      <c r="BA17" s="1">
        <v>0.12</v>
      </c>
      <c r="BB17" s="4">
        <v>0.1</v>
      </c>
      <c r="BC17" s="1">
        <v>25.8</v>
      </c>
      <c r="BD17" s="1">
        <v>9.9000000000000005E-2</v>
      </c>
      <c r="BF17" s="30">
        <v>5.3</v>
      </c>
      <c r="BG17" s="31">
        <v>6.2</v>
      </c>
      <c r="BH17" s="30">
        <v>5.3</v>
      </c>
      <c r="BI17" s="31">
        <v>6.2</v>
      </c>
      <c r="BJ17" s="1">
        <v>6</v>
      </c>
      <c r="BL17" s="119">
        <v>150</v>
      </c>
      <c r="BM17" s="119">
        <v>1500</v>
      </c>
      <c r="BN17"/>
      <c r="BO17" s="135">
        <v>6</v>
      </c>
      <c r="BP17" s="137" t="s">
        <v>153</v>
      </c>
      <c r="BQ17" s="137" t="s">
        <v>156</v>
      </c>
      <c r="BR17" s="137" t="s">
        <v>157</v>
      </c>
      <c r="BS17" s="135">
        <v>6</v>
      </c>
      <c r="BT17" s="137">
        <v>20</v>
      </c>
      <c r="BU17" s="137" t="s">
        <v>156</v>
      </c>
      <c r="BV17" s="137" t="s">
        <v>157</v>
      </c>
      <c r="BW17" s="135">
        <v>6</v>
      </c>
      <c r="BX17" s="137">
        <v>32</v>
      </c>
      <c r="BY17" s="137" t="s">
        <v>160</v>
      </c>
      <c r="BZ17" s="137" t="s">
        <v>161</v>
      </c>
      <c r="CA17" s="113"/>
    </row>
    <row r="18" spans="1:79" ht="13.8" thickBot="1" x14ac:dyDescent="0.3">
      <c r="A18" s="3">
        <v>240</v>
      </c>
      <c r="B18" s="3">
        <v>452</v>
      </c>
      <c r="C18" s="3">
        <v>407</v>
      </c>
      <c r="D18" s="3">
        <v>240</v>
      </c>
      <c r="E18" s="3">
        <v>0.1</v>
      </c>
      <c r="F18" s="5">
        <v>0.09</v>
      </c>
      <c r="G18" s="3">
        <v>62.7</v>
      </c>
      <c r="H18" s="3">
        <v>0.09</v>
      </c>
      <c r="I18" s="5">
        <v>0.1</v>
      </c>
      <c r="J18" s="3">
        <v>29.2</v>
      </c>
      <c r="K18" s="3">
        <v>7.4999999999999997E-2</v>
      </c>
      <c r="M18" s="3">
        <v>240</v>
      </c>
      <c r="N18" s="3">
        <v>419</v>
      </c>
      <c r="O18" s="3">
        <v>351</v>
      </c>
      <c r="P18" s="3">
        <v>240</v>
      </c>
      <c r="Q18" s="3">
        <v>0.1</v>
      </c>
      <c r="R18" s="5">
        <v>0.09</v>
      </c>
      <c r="S18" s="3">
        <v>62.7</v>
      </c>
      <c r="T18" s="3">
        <v>0.09</v>
      </c>
      <c r="U18" s="5">
        <v>0.1</v>
      </c>
      <c r="V18" s="3">
        <v>29.2</v>
      </c>
      <c r="X18" s="3">
        <v>240</v>
      </c>
      <c r="Y18" s="3">
        <v>641</v>
      </c>
      <c r="Z18" s="3">
        <v>538</v>
      </c>
      <c r="AA18" s="3">
        <v>240</v>
      </c>
      <c r="AB18" s="3">
        <v>0.1</v>
      </c>
      <c r="AC18" s="5">
        <v>0.09</v>
      </c>
      <c r="AD18" s="3">
        <v>62.7</v>
      </c>
      <c r="AE18" s="3">
        <v>0.09</v>
      </c>
      <c r="AF18" s="5">
        <v>0.1</v>
      </c>
      <c r="AG18" s="3">
        <v>29.2</v>
      </c>
      <c r="AI18" s="3">
        <v>240</v>
      </c>
      <c r="AJ18" s="3">
        <v>679</v>
      </c>
      <c r="AK18" s="3">
        <v>607</v>
      </c>
      <c r="AL18" s="3">
        <v>240</v>
      </c>
      <c r="AM18" s="3">
        <v>0.1</v>
      </c>
      <c r="AN18" s="5">
        <v>0.09</v>
      </c>
      <c r="AO18" s="3">
        <v>62.7</v>
      </c>
      <c r="AP18" s="3">
        <v>0.09</v>
      </c>
      <c r="AQ18" s="5">
        <v>0.1</v>
      </c>
      <c r="AR18" s="3">
        <v>29.2</v>
      </c>
      <c r="AT18" s="3">
        <v>240</v>
      </c>
      <c r="AU18" s="3">
        <v>546</v>
      </c>
      <c r="AV18" s="3">
        <v>481</v>
      </c>
      <c r="AW18" s="3">
        <v>240</v>
      </c>
      <c r="AX18" s="3">
        <v>0.1</v>
      </c>
      <c r="AY18" s="5">
        <v>0.09</v>
      </c>
      <c r="AZ18" s="3">
        <v>62.7</v>
      </c>
      <c r="BA18" s="3">
        <v>0.09</v>
      </c>
      <c r="BB18" s="5">
        <v>0.1</v>
      </c>
      <c r="BC18" s="3">
        <v>29.2</v>
      </c>
      <c r="BD18" s="3">
        <v>7.4999999999999997E-2</v>
      </c>
      <c r="BF18" s="30">
        <v>7.9</v>
      </c>
      <c r="BG18" s="31">
        <v>9.3000000000000007</v>
      </c>
      <c r="BH18" s="30">
        <v>7.9</v>
      </c>
      <c r="BI18" s="31">
        <v>9.3000000000000007</v>
      </c>
      <c r="BJ18" s="3">
        <v>4</v>
      </c>
      <c r="BL18" s="119">
        <v>185</v>
      </c>
      <c r="BM18" s="119">
        <v>2000</v>
      </c>
      <c r="BN18"/>
      <c r="BO18" s="135">
        <v>7.5</v>
      </c>
      <c r="BP18" s="137" t="s">
        <v>160</v>
      </c>
      <c r="BQ18" s="137" t="s">
        <v>162</v>
      </c>
      <c r="BR18" s="137" t="s">
        <v>159</v>
      </c>
      <c r="BS18" s="135">
        <v>7.5</v>
      </c>
      <c r="BT18" s="137">
        <v>25</v>
      </c>
      <c r="BU18" s="137" t="s">
        <v>162</v>
      </c>
      <c r="BV18" s="137" t="s">
        <v>159</v>
      </c>
      <c r="BW18" s="135">
        <v>7.5</v>
      </c>
      <c r="BX18" s="137">
        <v>63</v>
      </c>
      <c r="BY18" s="137" t="s">
        <v>163</v>
      </c>
      <c r="BZ18" s="139" t="s">
        <v>164</v>
      </c>
      <c r="CA18" s="113"/>
    </row>
    <row r="19" spans="1:79" ht="13.8" thickBot="1" x14ac:dyDescent="0.3">
      <c r="A19" s="1">
        <v>300</v>
      </c>
      <c r="B19" s="1">
        <v>529</v>
      </c>
      <c r="C19" s="1">
        <v>465</v>
      </c>
      <c r="D19" s="1">
        <v>300</v>
      </c>
      <c r="E19" s="4">
        <v>7.8E-2</v>
      </c>
      <c r="F19" s="4">
        <v>0.09</v>
      </c>
      <c r="G19" s="1" t="s">
        <v>19</v>
      </c>
      <c r="H19" s="4">
        <v>7.8E-2</v>
      </c>
      <c r="I19" s="4">
        <v>0.1</v>
      </c>
      <c r="J19" s="1" t="s">
        <v>19</v>
      </c>
      <c r="K19" s="4">
        <v>0.06</v>
      </c>
      <c r="M19" s="1">
        <v>300</v>
      </c>
      <c r="N19" s="1">
        <v>474</v>
      </c>
      <c r="O19" s="1">
        <v>396</v>
      </c>
      <c r="P19" s="1">
        <v>300</v>
      </c>
      <c r="Q19" s="4">
        <v>7.8E-2</v>
      </c>
      <c r="R19" s="4">
        <v>0.09</v>
      </c>
      <c r="S19" s="1" t="s">
        <v>19</v>
      </c>
      <c r="T19" s="4">
        <v>7.8E-2</v>
      </c>
      <c r="U19" s="4">
        <v>0.1</v>
      </c>
      <c r="V19" s="1" t="s">
        <v>19</v>
      </c>
      <c r="X19" s="1">
        <v>300</v>
      </c>
      <c r="Y19" s="1">
        <v>741</v>
      </c>
      <c r="Z19" s="1">
        <v>621</v>
      </c>
      <c r="AA19" s="1">
        <v>300</v>
      </c>
      <c r="AB19" s="4">
        <v>7.8E-2</v>
      </c>
      <c r="AC19" s="4">
        <v>0.09</v>
      </c>
      <c r="AD19" s="1" t="s">
        <v>19</v>
      </c>
      <c r="AE19" s="4">
        <v>7.8E-2</v>
      </c>
      <c r="AF19" s="4">
        <v>0.1</v>
      </c>
      <c r="AG19" s="1" t="s">
        <v>19</v>
      </c>
      <c r="AI19" s="1">
        <v>300</v>
      </c>
      <c r="AJ19" s="1">
        <v>783</v>
      </c>
      <c r="AK19" s="1">
        <v>703</v>
      </c>
      <c r="AL19" s="1">
        <v>300</v>
      </c>
      <c r="AM19" s="4">
        <v>7.8E-2</v>
      </c>
      <c r="AN19" s="4">
        <v>0.09</v>
      </c>
      <c r="AO19" s="1" t="s">
        <v>19</v>
      </c>
      <c r="AP19" s="4">
        <v>7.8E-2</v>
      </c>
      <c r="AQ19" s="4">
        <v>0.1</v>
      </c>
      <c r="AR19" s="1" t="s">
        <v>19</v>
      </c>
      <c r="AT19" s="1">
        <v>300</v>
      </c>
      <c r="AU19" s="1">
        <v>628</v>
      </c>
      <c r="AV19" s="1">
        <v>553</v>
      </c>
      <c r="AW19" s="1">
        <v>300</v>
      </c>
      <c r="AX19" s="4">
        <v>7.8E-2</v>
      </c>
      <c r="AY19" s="4">
        <v>0.09</v>
      </c>
      <c r="AZ19" s="1" t="s">
        <v>19</v>
      </c>
      <c r="BA19" s="4">
        <v>7.8E-2</v>
      </c>
      <c r="BB19" s="4">
        <v>0.1</v>
      </c>
      <c r="BC19" s="1" t="s">
        <v>19</v>
      </c>
      <c r="BD19" s="4">
        <v>0.06</v>
      </c>
      <c r="BF19" s="32">
        <v>12.7</v>
      </c>
      <c r="BG19" s="32">
        <v>15</v>
      </c>
      <c r="BH19" s="30">
        <v>12.7</v>
      </c>
      <c r="BI19" s="31">
        <v>15</v>
      </c>
      <c r="BJ19" s="1">
        <v>2.5</v>
      </c>
      <c r="BL19" s="119">
        <v>200</v>
      </c>
      <c r="BM19" s="119">
        <v>2500</v>
      </c>
      <c r="BN19"/>
      <c r="BO19" s="135">
        <v>10</v>
      </c>
      <c r="BP19" s="137" t="s">
        <v>160</v>
      </c>
      <c r="BQ19" s="137" t="s">
        <v>162</v>
      </c>
      <c r="BR19" s="137" t="s">
        <v>159</v>
      </c>
      <c r="BS19" s="135">
        <v>10</v>
      </c>
      <c r="BT19" s="137">
        <v>32</v>
      </c>
      <c r="BU19" s="137" t="s">
        <v>162</v>
      </c>
      <c r="BV19" s="137" t="s">
        <v>159</v>
      </c>
      <c r="BW19" s="135">
        <v>10</v>
      </c>
      <c r="BX19" s="137">
        <v>63</v>
      </c>
      <c r="BY19" s="137" t="s">
        <v>163</v>
      </c>
      <c r="BZ19" s="139" t="s">
        <v>164</v>
      </c>
      <c r="CA19" s="113"/>
    </row>
    <row r="20" spans="1:79" ht="13.8" thickBot="1" x14ac:dyDescent="0.3">
      <c r="BL20" s="119">
        <v>250</v>
      </c>
      <c r="BM20" s="119">
        <v>2500</v>
      </c>
      <c r="BN20"/>
      <c r="BO20" s="135">
        <v>10</v>
      </c>
      <c r="BP20" s="137" t="s">
        <v>160</v>
      </c>
      <c r="BQ20" s="137" t="s">
        <v>158</v>
      </c>
      <c r="BR20" s="137" t="s">
        <v>159</v>
      </c>
      <c r="BS20" s="135">
        <v>10</v>
      </c>
      <c r="BT20" s="137">
        <v>32</v>
      </c>
      <c r="BU20" s="137" t="s">
        <v>158</v>
      </c>
      <c r="BV20" s="137" t="s">
        <v>165</v>
      </c>
      <c r="BW20" s="135">
        <v>10</v>
      </c>
      <c r="BX20" s="137">
        <v>63</v>
      </c>
      <c r="BY20" s="137" t="s">
        <v>163</v>
      </c>
      <c r="BZ20" s="139" t="s">
        <v>164</v>
      </c>
      <c r="CA20" s="113"/>
    </row>
    <row r="21" spans="1:79" ht="12.75" customHeight="1" thickBot="1" x14ac:dyDescent="0.3">
      <c r="BL21" s="119">
        <v>320</v>
      </c>
      <c r="BM21" s="119">
        <v>3000</v>
      </c>
      <c r="BN21"/>
      <c r="BO21" s="135">
        <v>12.5</v>
      </c>
      <c r="BP21" s="137" t="s">
        <v>163</v>
      </c>
      <c r="BQ21" s="137" t="s">
        <v>160</v>
      </c>
      <c r="BR21" s="137" t="s">
        <v>165</v>
      </c>
      <c r="BS21" s="135">
        <v>12.5</v>
      </c>
      <c r="BT21" s="137">
        <v>32</v>
      </c>
      <c r="BU21" s="137" t="s">
        <v>158</v>
      </c>
      <c r="BV21" s="137" t="s">
        <v>166</v>
      </c>
      <c r="BW21" s="135">
        <v>12.5</v>
      </c>
      <c r="BX21" s="137">
        <v>63</v>
      </c>
      <c r="BY21" s="137" t="s">
        <v>167</v>
      </c>
      <c r="BZ21" s="139" t="s">
        <v>168</v>
      </c>
      <c r="CA21" s="113"/>
    </row>
    <row r="22" spans="1:79" ht="13.8" thickBot="1" x14ac:dyDescent="0.3">
      <c r="A22" s="158" t="s">
        <v>85</v>
      </c>
      <c r="B22" s="158" t="s">
        <v>86</v>
      </c>
      <c r="C22" s="158" t="s">
        <v>90</v>
      </c>
      <c r="D22" s="158" t="s">
        <v>87</v>
      </c>
      <c r="E22" s="158" t="s">
        <v>352</v>
      </c>
      <c r="F22" s="158" t="s">
        <v>88</v>
      </c>
      <c r="G22" s="158" t="s">
        <v>89</v>
      </c>
      <c r="M22" s="216" t="s">
        <v>93</v>
      </c>
      <c r="N22" s="214"/>
      <c r="O22" s="215"/>
      <c r="BL22" s="119">
        <v>400</v>
      </c>
      <c r="BM22" s="119"/>
      <c r="BN22"/>
      <c r="BO22" s="135">
        <v>15</v>
      </c>
      <c r="BP22" s="137" t="s">
        <v>163</v>
      </c>
      <c r="BQ22" s="137" t="s">
        <v>160</v>
      </c>
      <c r="BR22" s="137" t="s">
        <v>165</v>
      </c>
      <c r="BS22" s="135">
        <v>15</v>
      </c>
      <c r="BT22" s="137">
        <v>32</v>
      </c>
      <c r="BU22" s="137" t="s">
        <v>158</v>
      </c>
      <c r="BV22" s="137" t="s">
        <v>166</v>
      </c>
      <c r="BW22" s="135">
        <v>15</v>
      </c>
      <c r="BX22" s="137">
        <v>63</v>
      </c>
      <c r="BY22" s="137" t="s">
        <v>167</v>
      </c>
      <c r="BZ22" s="139" t="s">
        <v>168</v>
      </c>
      <c r="CA22" s="111"/>
    </row>
    <row r="23" spans="1:79" ht="13.8" thickBot="1" x14ac:dyDescent="0.3">
      <c r="A23" s="159" t="s">
        <v>68</v>
      </c>
      <c r="B23" s="159" t="s">
        <v>63</v>
      </c>
      <c r="C23" s="159" t="s">
        <v>73</v>
      </c>
      <c r="D23" s="159" t="s">
        <v>72</v>
      </c>
      <c r="E23" s="159" t="s">
        <v>69</v>
      </c>
      <c r="F23" s="159"/>
      <c r="M23" s="57" t="s">
        <v>94</v>
      </c>
      <c r="N23" s="58" t="s">
        <v>95</v>
      </c>
      <c r="O23" s="59" t="s">
        <v>96</v>
      </c>
      <c r="BL23" s="119">
        <v>500</v>
      </c>
      <c r="BM23" s="119"/>
      <c r="BN23"/>
      <c r="BO23" s="135">
        <v>15</v>
      </c>
      <c r="BP23" s="137" t="s">
        <v>169</v>
      </c>
      <c r="BQ23" s="137" t="s">
        <v>163</v>
      </c>
      <c r="BR23" s="137" t="s">
        <v>164</v>
      </c>
      <c r="BS23" s="135">
        <v>15</v>
      </c>
      <c r="BT23" s="137">
        <v>63</v>
      </c>
      <c r="BU23" s="137" t="s">
        <v>163</v>
      </c>
      <c r="BV23" s="139" t="s">
        <v>164</v>
      </c>
      <c r="BW23" s="135">
        <v>15</v>
      </c>
      <c r="BX23" s="137">
        <v>80</v>
      </c>
      <c r="BY23" s="139" t="s">
        <v>170</v>
      </c>
      <c r="BZ23" s="139" t="s">
        <v>171</v>
      </c>
      <c r="CA23" s="111"/>
    </row>
    <row r="24" spans="1:79" ht="13.8" thickBot="1" x14ac:dyDescent="0.3">
      <c r="A24" s="158">
        <v>110</v>
      </c>
      <c r="B24" s="158">
        <v>120</v>
      </c>
      <c r="C24" s="158">
        <v>127</v>
      </c>
      <c r="D24" s="158">
        <v>220</v>
      </c>
      <c r="E24" s="158">
        <v>380</v>
      </c>
      <c r="F24" s="158">
        <v>440</v>
      </c>
      <c r="G24" s="158">
        <v>480</v>
      </c>
      <c r="H24" s="158">
        <v>13800</v>
      </c>
      <c r="M24" s="60" t="s">
        <v>110</v>
      </c>
      <c r="N24" s="61">
        <v>12.44</v>
      </c>
      <c r="O24" s="62">
        <f t="shared" ref="O24:O36" si="0">IF($CD$13=1,$CM$10,IF($CD$11=2,$CK$10,$CI$10))</f>
        <v>0</v>
      </c>
      <c r="BL24" s="119">
        <v>630</v>
      </c>
      <c r="BM24" s="119"/>
      <c r="BN24"/>
      <c r="BO24" s="135">
        <v>20</v>
      </c>
      <c r="BP24" s="137" t="s">
        <v>169</v>
      </c>
      <c r="BQ24" s="137" t="s">
        <v>163</v>
      </c>
      <c r="BR24" s="137" t="s">
        <v>164</v>
      </c>
      <c r="BS24" s="135">
        <v>20</v>
      </c>
      <c r="BT24" s="137">
        <v>63</v>
      </c>
      <c r="BU24" s="137" t="s">
        <v>163</v>
      </c>
      <c r="BV24" s="139" t="s">
        <v>164</v>
      </c>
      <c r="BW24" s="135">
        <v>20</v>
      </c>
      <c r="BX24" s="137">
        <v>80</v>
      </c>
      <c r="BY24" s="139" t="s">
        <v>170</v>
      </c>
      <c r="BZ24" s="139" t="s">
        <v>171</v>
      </c>
      <c r="CA24" s="111"/>
    </row>
    <row r="25" spans="1:79" ht="13.8" thickBot="1" x14ac:dyDescent="0.3">
      <c r="A25" s="66" t="s">
        <v>239</v>
      </c>
      <c r="B25" t="s">
        <v>240</v>
      </c>
      <c r="M25" s="63" t="s">
        <v>111</v>
      </c>
      <c r="N25" s="64">
        <v>15.75</v>
      </c>
      <c r="O25" s="65">
        <f t="shared" si="0"/>
        <v>0</v>
      </c>
      <c r="BL25" s="119">
        <v>800</v>
      </c>
      <c r="BM25" s="119"/>
      <c r="BN25"/>
      <c r="BO25" s="135">
        <v>20</v>
      </c>
      <c r="BP25" s="139" t="s">
        <v>169</v>
      </c>
      <c r="BQ25" s="139" t="s">
        <v>163</v>
      </c>
      <c r="BR25" s="139" t="s">
        <v>164</v>
      </c>
      <c r="BS25" s="135">
        <v>20</v>
      </c>
      <c r="BT25" s="137">
        <v>63</v>
      </c>
      <c r="BU25" s="137" t="s">
        <v>167</v>
      </c>
      <c r="BV25" s="139" t="s">
        <v>168</v>
      </c>
      <c r="BW25" s="135">
        <v>20</v>
      </c>
      <c r="BX25" s="137">
        <v>125</v>
      </c>
      <c r="BY25" s="139" t="s">
        <v>172</v>
      </c>
      <c r="BZ25" s="139" t="s">
        <v>173</v>
      </c>
      <c r="CA25" s="112"/>
    </row>
    <row r="26" spans="1:79" ht="13.8" thickBot="1" x14ac:dyDescent="0.3">
      <c r="A26" s="66"/>
      <c r="M26" s="60" t="s">
        <v>112</v>
      </c>
      <c r="N26" s="61">
        <v>20.82</v>
      </c>
      <c r="O26" s="62">
        <f t="shared" si="0"/>
        <v>0</v>
      </c>
      <c r="BL26" s="119">
        <v>1000</v>
      </c>
      <c r="BM26" s="119"/>
      <c r="BN26"/>
      <c r="BO26" s="135">
        <v>25</v>
      </c>
      <c r="BP26" s="139" t="s">
        <v>169</v>
      </c>
      <c r="BQ26" s="139" t="s">
        <v>167</v>
      </c>
      <c r="BR26" s="139" t="s">
        <v>168</v>
      </c>
      <c r="BS26" s="135">
        <v>25</v>
      </c>
      <c r="BT26" s="137">
        <v>80</v>
      </c>
      <c r="BU26" s="137" t="s">
        <v>170</v>
      </c>
      <c r="BV26" s="139" t="s">
        <v>171</v>
      </c>
      <c r="BW26" s="135">
        <v>25</v>
      </c>
      <c r="BX26" s="137">
        <v>160</v>
      </c>
      <c r="BY26" s="139" t="s">
        <v>174</v>
      </c>
      <c r="BZ26" s="139" t="s">
        <v>175</v>
      </c>
      <c r="CA26" s="111"/>
    </row>
    <row r="27" spans="1:79" ht="13.8" thickBot="1" x14ac:dyDescent="0.3">
      <c r="A27" s="66"/>
      <c r="M27" s="63" t="s">
        <v>113</v>
      </c>
      <c r="N27" s="64">
        <v>26.41</v>
      </c>
      <c r="O27" s="65">
        <f t="shared" si="0"/>
        <v>0</v>
      </c>
      <c r="BL27" s="119">
        <v>1250</v>
      </c>
      <c r="BM27" s="119"/>
      <c r="BN27"/>
      <c r="BO27" s="135">
        <v>30</v>
      </c>
      <c r="BP27" s="139" t="s">
        <v>174</v>
      </c>
      <c r="BQ27" s="139" t="s">
        <v>170</v>
      </c>
      <c r="BR27" s="139" t="s">
        <v>171</v>
      </c>
      <c r="BS27" s="135">
        <v>30</v>
      </c>
      <c r="BT27" s="137">
        <v>125</v>
      </c>
      <c r="BU27" s="139" t="s">
        <v>172</v>
      </c>
      <c r="BV27" s="139" t="s">
        <v>173</v>
      </c>
      <c r="BW27" s="135">
        <v>30</v>
      </c>
      <c r="BX27" s="137">
        <v>200</v>
      </c>
      <c r="BY27" s="139" t="s">
        <v>176</v>
      </c>
      <c r="BZ27" s="139" t="s">
        <v>177</v>
      </c>
      <c r="CA27" s="111"/>
    </row>
    <row r="28" spans="1:79" ht="13.8" thickBot="1" x14ac:dyDescent="0.3">
      <c r="A28" s="66"/>
      <c r="M28" s="60" t="s">
        <v>119</v>
      </c>
      <c r="N28" s="61">
        <v>40.89</v>
      </c>
      <c r="O28" s="62">
        <f t="shared" si="0"/>
        <v>0</v>
      </c>
      <c r="BL28" s="119">
        <v>1500</v>
      </c>
      <c r="BM28" s="119"/>
      <c r="BN28"/>
      <c r="BO28" s="135">
        <v>40</v>
      </c>
      <c r="BP28" s="139" t="s">
        <v>178</v>
      </c>
      <c r="BQ28" s="139" t="s">
        <v>172</v>
      </c>
      <c r="BR28" s="139" t="s">
        <v>173</v>
      </c>
      <c r="BS28" s="135">
        <v>40</v>
      </c>
      <c r="BT28" s="137">
        <v>160</v>
      </c>
      <c r="BU28" s="139" t="s">
        <v>174</v>
      </c>
      <c r="BV28" s="139" t="s">
        <v>175</v>
      </c>
      <c r="BW28" s="135">
        <v>40</v>
      </c>
      <c r="BX28" s="140">
        <v>200</v>
      </c>
      <c r="BY28" s="139" t="s">
        <v>176</v>
      </c>
      <c r="BZ28" s="139" t="s">
        <v>177</v>
      </c>
      <c r="CA28" s="111"/>
    </row>
    <row r="29" spans="1:79" ht="13.8" thickBot="1" x14ac:dyDescent="0.3">
      <c r="A29" s="66"/>
      <c r="M29" s="63" t="s">
        <v>114</v>
      </c>
      <c r="N29" s="64">
        <v>52.32</v>
      </c>
      <c r="O29" s="65">
        <f t="shared" si="0"/>
        <v>0</v>
      </c>
      <c r="BL29" s="119">
        <v>2000</v>
      </c>
      <c r="BM29" s="119"/>
      <c r="BN29"/>
      <c r="BO29" s="135">
        <v>50</v>
      </c>
      <c r="BP29" s="139" t="s">
        <v>179</v>
      </c>
      <c r="BQ29" s="139" t="s">
        <v>174</v>
      </c>
      <c r="BR29" s="139" t="s">
        <v>175</v>
      </c>
      <c r="BS29" s="135">
        <v>50</v>
      </c>
      <c r="BT29" s="137">
        <v>160</v>
      </c>
      <c r="BU29" s="139" t="s">
        <v>180</v>
      </c>
      <c r="BV29" s="139" t="s">
        <v>181</v>
      </c>
      <c r="BW29" s="135">
        <v>50</v>
      </c>
      <c r="BX29" s="140">
        <v>250</v>
      </c>
      <c r="BY29" s="139" t="s">
        <v>182</v>
      </c>
      <c r="BZ29" s="139" t="s">
        <v>177</v>
      </c>
      <c r="CA29" s="111"/>
    </row>
    <row r="30" spans="1:79" ht="13.8" thickBot="1" x14ac:dyDescent="0.3">
      <c r="A30" s="66"/>
      <c r="M30" s="60" t="s">
        <v>120</v>
      </c>
      <c r="N30" s="61">
        <v>62.48</v>
      </c>
      <c r="O30" s="62">
        <f t="shared" si="0"/>
        <v>0</v>
      </c>
      <c r="BL30" s="119">
        <v>2500</v>
      </c>
      <c r="BM30" s="119"/>
      <c r="BN30" s="113"/>
      <c r="BO30" s="135">
        <v>60</v>
      </c>
      <c r="BP30" s="139" t="s">
        <v>179</v>
      </c>
      <c r="BQ30" s="139" t="s">
        <v>180</v>
      </c>
      <c r="BR30" s="139" t="s">
        <v>181</v>
      </c>
      <c r="BS30" s="135">
        <v>60</v>
      </c>
      <c r="BT30" s="137">
        <v>200</v>
      </c>
      <c r="BU30" s="139" t="s">
        <v>183</v>
      </c>
      <c r="BV30" s="139" t="s">
        <v>177</v>
      </c>
      <c r="BW30" s="135">
        <v>60</v>
      </c>
      <c r="BX30" s="140">
        <v>315</v>
      </c>
      <c r="BY30" s="139" t="s">
        <v>182</v>
      </c>
      <c r="BZ30" s="139" t="s">
        <v>184</v>
      </c>
    </row>
    <row r="31" spans="1:79" ht="13.8" thickBot="1" x14ac:dyDescent="0.3">
      <c r="A31" s="66"/>
      <c r="M31" s="63" t="s">
        <v>115</v>
      </c>
      <c r="N31" s="64">
        <v>77.72</v>
      </c>
      <c r="O31" s="65">
        <f t="shared" si="0"/>
        <v>0</v>
      </c>
      <c r="BN31" s="113"/>
      <c r="BO31" s="135">
        <v>75</v>
      </c>
      <c r="BP31" s="139" t="s">
        <v>185</v>
      </c>
      <c r="BQ31" s="139" t="s">
        <v>186</v>
      </c>
      <c r="BR31" s="139" t="s">
        <v>177</v>
      </c>
      <c r="BS31" s="135">
        <v>75</v>
      </c>
      <c r="BT31" s="137">
        <v>250</v>
      </c>
      <c r="BU31" s="139" t="s">
        <v>186</v>
      </c>
      <c r="BV31" s="139" t="s">
        <v>177</v>
      </c>
      <c r="BW31" s="135">
        <v>75</v>
      </c>
      <c r="BX31" s="140">
        <v>400</v>
      </c>
      <c r="BY31" s="139" t="s">
        <v>185</v>
      </c>
      <c r="BZ31" s="139" t="s">
        <v>187</v>
      </c>
    </row>
    <row r="32" spans="1:79" ht="13.8" thickBot="1" x14ac:dyDescent="0.3">
      <c r="A32" s="66"/>
      <c r="M32" s="60" t="s">
        <v>121</v>
      </c>
      <c r="N32" s="61">
        <v>89.91</v>
      </c>
      <c r="O32" s="62">
        <f t="shared" si="0"/>
        <v>0</v>
      </c>
      <c r="BN32" s="113"/>
      <c r="BO32" s="135">
        <v>100</v>
      </c>
      <c r="BP32" s="139" t="s">
        <v>185</v>
      </c>
      <c r="BQ32" s="139" t="s">
        <v>182</v>
      </c>
      <c r="BR32" s="139" t="s">
        <v>177</v>
      </c>
      <c r="BS32" s="135">
        <v>100</v>
      </c>
      <c r="BT32" s="137">
        <v>315</v>
      </c>
      <c r="BU32" s="139" t="s">
        <v>182</v>
      </c>
      <c r="BV32" s="139" t="s">
        <v>177</v>
      </c>
      <c r="BW32" s="135">
        <v>100</v>
      </c>
      <c r="BX32" s="140">
        <v>400</v>
      </c>
      <c r="BY32" s="139" t="s">
        <v>188</v>
      </c>
      <c r="BZ32" s="139" t="s">
        <v>187</v>
      </c>
    </row>
    <row r="33" spans="1:78" ht="13.8" thickBot="1" x14ac:dyDescent="0.3">
      <c r="A33" s="66"/>
      <c r="M33" s="63" t="s">
        <v>116</v>
      </c>
      <c r="N33" s="64">
        <v>102.1</v>
      </c>
      <c r="O33" s="65">
        <f t="shared" si="0"/>
        <v>0</v>
      </c>
      <c r="BN33" s="113"/>
      <c r="BO33" s="135">
        <v>125</v>
      </c>
      <c r="BP33" s="139" t="s">
        <v>189</v>
      </c>
      <c r="BQ33" s="139" t="s">
        <v>182</v>
      </c>
      <c r="BR33" s="139" t="s">
        <v>177</v>
      </c>
      <c r="BS33" s="135">
        <v>125</v>
      </c>
      <c r="BT33" s="137">
        <v>400</v>
      </c>
      <c r="BU33" s="139" t="s">
        <v>185</v>
      </c>
      <c r="BV33" s="139" t="s">
        <v>184</v>
      </c>
      <c r="BW33" s="135">
        <v>125</v>
      </c>
      <c r="BX33" s="139">
        <v>400</v>
      </c>
      <c r="BY33" s="139" t="s">
        <v>190</v>
      </c>
      <c r="BZ33" s="139" t="s">
        <v>187</v>
      </c>
    </row>
    <row r="34" spans="1:78" ht="13.8" thickBot="1" x14ac:dyDescent="0.3">
      <c r="A34" s="66"/>
      <c r="M34" s="60" t="s">
        <v>122</v>
      </c>
      <c r="N34" s="61">
        <v>114.3</v>
      </c>
      <c r="O34" s="62">
        <f t="shared" si="0"/>
        <v>0</v>
      </c>
      <c r="BN34" s="113"/>
      <c r="BO34" s="135">
        <v>150</v>
      </c>
      <c r="BP34" s="139" t="s">
        <v>190</v>
      </c>
      <c r="BQ34" s="139" t="s">
        <v>185</v>
      </c>
      <c r="BR34" s="139" t="s">
        <v>184</v>
      </c>
      <c r="BS34" s="135">
        <v>150</v>
      </c>
      <c r="BT34" s="137">
        <v>400</v>
      </c>
      <c r="BU34" s="139" t="s">
        <v>185</v>
      </c>
      <c r="BV34" s="139" t="s">
        <v>187</v>
      </c>
      <c r="BW34" s="135">
        <v>150</v>
      </c>
      <c r="BX34" s="139">
        <v>630</v>
      </c>
      <c r="BY34" s="139" t="s">
        <v>191</v>
      </c>
      <c r="BZ34" s="139" t="s">
        <v>187</v>
      </c>
    </row>
    <row r="35" spans="1:78" ht="13.8" thickBot="1" x14ac:dyDescent="0.3">
      <c r="A35" s="66"/>
      <c r="M35" s="63" t="s">
        <v>117</v>
      </c>
      <c r="N35" s="64">
        <v>128.01</v>
      </c>
      <c r="O35" s="65">
        <f t="shared" si="0"/>
        <v>0</v>
      </c>
      <c r="BN35" s="113"/>
      <c r="BO35" s="135">
        <v>175</v>
      </c>
      <c r="BP35" s="139" t="s">
        <v>190</v>
      </c>
      <c r="BQ35" s="139" t="s">
        <v>185</v>
      </c>
      <c r="BR35" s="139" t="s">
        <v>187</v>
      </c>
      <c r="BS35" s="135">
        <v>175</v>
      </c>
      <c r="BT35" s="137">
        <v>400</v>
      </c>
      <c r="BU35" s="139" t="s">
        <v>188</v>
      </c>
      <c r="BV35" s="139" t="s">
        <v>187</v>
      </c>
      <c r="BW35" s="135">
        <v>175</v>
      </c>
      <c r="BX35" s="139">
        <v>630</v>
      </c>
      <c r="BY35" s="139" t="s">
        <v>191</v>
      </c>
      <c r="BZ35" s="139" t="s">
        <v>187</v>
      </c>
    </row>
    <row r="36" spans="1:78" ht="13.8" thickBot="1" x14ac:dyDescent="0.3">
      <c r="A36" s="66"/>
      <c r="M36" s="60" t="s">
        <v>118</v>
      </c>
      <c r="N36" s="61">
        <v>153.91999999999999</v>
      </c>
      <c r="O36" s="62">
        <f t="shared" si="0"/>
        <v>0</v>
      </c>
      <c r="BN36" s="113"/>
      <c r="BO36" s="135">
        <v>200</v>
      </c>
      <c r="BP36" s="139" t="s">
        <v>190</v>
      </c>
      <c r="BQ36" s="139" t="s">
        <v>188</v>
      </c>
      <c r="BR36" s="139" t="s">
        <v>187</v>
      </c>
      <c r="BS36" s="135">
        <v>200</v>
      </c>
      <c r="BT36" s="137">
        <v>400</v>
      </c>
      <c r="BU36" s="139" t="s">
        <v>190</v>
      </c>
      <c r="BV36" s="139" t="s">
        <v>187</v>
      </c>
      <c r="BW36" s="135">
        <v>200</v>
      </c>
      <c r="BX36" s="139">
        <v>800</v>
      </c>
      <c r="BY36" s="139" t="s">
        <v>19</v>
      </c>
      <c r="BZ36" s="139" t="s">
        <v>19</v>
      </c>
    </row>
    <row r="37" spans="1:78" ht="13.8" thickBot="1" x14ac:dyDescent="0.3">
      <c r="A37" s="66"/>
      <c r="BN37" s="113"/>
      <c r="BO37" s="135">
        <v>250</v>
      </c>
      <c r="BP37" s="139" t="s">
        <v>192</v>
      </c>
      <c r="BQ37" s="139" t="s">
        <v>190</v>
      </c>
      <c r="BR37" s="139" t="s">
        <v>187</v>
      </c>
      <c r="BS37" s="135">
        <v>250</v>
      </c>
      <c r="BT37" s="137">
        <v>630</v>
      </c>
      <c r="BU37" s="139" t="s">
        <v>190</v>
      </c>
      <c r="BV37" s="139" t="s">
        <v>187</v>
      </c>
      <c r="BW37" s="135">
        <v>250</v>
      </c>
      <c r="BX37" s="139">
        <v>630</v>
      </c>
      <c r="BY37" s="139" t="s">
        <v>19</v>
      </c>
      <c r="BZ37" s="139" t="s">
        <v>19</v>
      </c>
    </row>
    <row r="38" spans="1:78" ht="13.8" thickBot="1" x14ac:dyDescent="0.3">
      <c r="A38" s="66"/>
      <c r="M38" s="217" t="s">
        <v>97</v>
      </c>
      <c r="N38" s="218"/>
      <c r="BN38" s="113"/>
      <c r="BO38" s="135">
        <v>300</v>
      </c>
      <c r="BP38" s="139" t="s">
        <v>192</v>
      </c>
      <c r="BQ38" s="139" t="s">
        <v>190</v>
      </c>
      <c r="BR38" s="139" t="s">
        <v>187</v>
      </c>
      <c r="BS38" s="135">
        <v>300</v>
      </c>
      <c r="BT38" s="140">
        <v>630</v>
      </c>
      <c r="BU38" s="139" t="s">
        <v>191</v>
      </c>
      <c r="BV38" s="139" t="s">
        <v>19</v>
      </c>
      <c r="BW38" s="135">
        <v>300</v>
      </c>
      <c r="BX38" s="139">
        <v>630</v>
      </c>
      <c r="BY38" s="139" t="s">
        <v>19</v>
      </c>
      <c r="BZ38" s="139" t="s">
        <v>19</v>
      </c>
    </row>
    <row r="39" spans="1:78" ht="13.8" thickBot="1" x14ac:dyDescent="0.3">
      <c r="A39" s="66"/>
      <c r="M39" s="219" t="s">
        <v>98</v>
      </c>
      <c r="N39" s="220"/>
      <c r="BN39" s="113"/>
      <c r="BO39" s="135">
        <v>350</v>
      </c>
      <c r="BP39" s="139" t="s">
        <v>192</v>
      </c>
      <c r="BQ39" s="139" t="s">
        <v>191</v>
      </c>
      <c r="BR39" s="139" t="s">
        <v>187</v>
      </c>
      <c r="BS39" s="135">
        <v>350</v>
      </c>
      <c r="BT39" s="140">
        <v>800</v>
      </c>
      <c r="BU39" s="139" t="s">
        <v>191</v>
      </c>
      <c r="BV39" s="139" t="s">
        <v>19</v>
      </c>
      <c r="BW39" s="135">
        <v>350</v>
      </c>
      <c r="BX39" s="139" t="s">
        <v>19</v>
      </c>
      <c r="BY39" s="139" t="s">
        <v>19</v>
      </c>
      <c r="BZ39" s="139" t="s">
        <v>19</v>
      </c>
    </row>
    <row r="40" spans="1:78" ht="13.8" thickBot="1" x14ac:dyDescent="0.3">
      <c r="A40" s="66"/>
      <c r="B40" s="66"/>
      <c r="M40" s="221" t="s">
        <v>99</v>
      </c>
      <c r="N40" s="222"/>
      <c r="BN40" s="113"/>
      <c r="BO40" s="135">
        <v>400</v>
      </c>
      <c r="BP40" s="139" t="s">
        <v>193</v>
      </c>
      <c r="BQ40" s="139" t="s">
        <v>19</v>
      </c>
      <c r="BR40" s="139" t="s">
        <v>19</v>
      </c>
      <c r="BS40" s="135">
        <v>400</v>
      </c>
      <c r="BT40" s="140">
        <v>800</v>
      </c>
      <c r="BU40" s="139"/>
      <c r="BV40" s="139" t="s">
        <v>19</v>
      </c>
      <c r="BW40" s="135">
        <v>400</v>
      </c>
      <c r="BX40" s="139" t="s">
        <v>19</v>
      </c>
      <c r="BY40" s="139" t="s">
        <v>19</v>
      </c>
      <c r="BZ40" s="139" t="s">
        <v>19</v>
      </c>
    </row>
    <row r="41" spans="1:78" ht="13.8" thickBot="1" x14ac:dyDescent="0.3">
      <c r="A41" s="66"/>
      <c r="B41" s="66"/>
      <c r="BN41" s="113"/>
      <c r="BO41" s="135">
        <v>450</v>
      </c>
      <c r="BP41" s="139" t="s">
        <v>193</v>
      </c>
      <c r="BQ41" s="139" t="s">
        <v>19</v>
      </c>
      <c r="BR41" s="139" t="s">
        <v>19</v>
      </c>
      <c r="BS41" s="135">
        <v>450</v>
      </c>
      <c r="BT41" s="140">
        <v>1250</v>
      </c>
      <c r="BU41" s="139"/>
      <c r="BV41" s="139" t="s">
        <v>19</v>
      </c>
      <c r="BW41" s="135">
        <v>450</v>
      </c>
      <c r="BX41" s="139" t="s">
        <v>19</v>
      </c>
      <c r="BY41" s="139" t="s">
        <v>19</v>
      </c>
      <c r="BZ41" s="139" t="s">
        <v>19</v>
      </c>
    </row>
    <row r="42" spans="1:78" ht="14.4" thickBot="1" x14ac:dyDescent="0.3">
      <c r="A42" s="66"/>
      <c r="B42" s="223" t="s">
        <v>100</v>
      </c>
      <c r="C42" s="223"/>
      <c r="D42" s="223"/>
      <c r="E42" s="223"/>
      <c r="F42" s="223"/>
      <c r="G42" s="223"/>
      <c r="H42" s="223"/>
      <c r="I42" s="223"/>
      <c r="J42" s="223"/>
      <c r="K42" s="224"/>
      <c r="O42" s="67"/>
      <c r="BN42" s="113"/>
      <c r="BO42" s="135">
        <v>500</v>
      </c>
      <c r="BP42" s="141"/>
      <c r="BQ42" s="142"/>
      <c r="BR42" s="142"/>
      <c r="BS42" s="135">
        <v>500</v>
      </c>
      <c r="BT42" s="141"/>
      <c r="BU42" s="141"/>
      <c r="BV42" s="141"/>
      <c r="BW42" s="135">
        <v>500</v>
      </c>
      <c r="BX42" s="6"/>
      <c r="BY42" s="6"/>
      <c r="BZ42" s="143"/>
    </row>
    <row r="43" spans="1:78" ht="14.4" thickBot="1" x14ac:dyDescent="0.3">
      <c r="A43" s="66"/>
      <c r="B43" s="209" t="s">
        <v>102</v>
      </c>
      <c r="C43" s="210"/>
      <c r="D43" s="213" t="s">
        <v>103</v>
      </c>
      <c r="E43" s="214"/>
      <c r="F43" s="214"/>
      <c r="G43" s="214"/>
      <c r="H43" s="215"/>
      <c r="I43" s="101" t="s">
        <v>101</v>
      </c>
      <c r="J43" s="101"/>
      <c r="K43" s="102"/>
      <c r="O43" s="67"/>
      <c r="BW43" s="111"/>
    </row>
    <row r="44" spans="1:78" ht="13.8" thickBot="1" x14ac:dyDescent="0.3">
      <c r="A44" s="66"/>
      <c r="B44" s="211"/>
      <c r="C44" s="212"/>
      <c r="D44" s="68" t="s">
        <v>88</v>
      </c>
      <c r="E44" s="68" t="s">
        <v>89</v>
      </c>
      <c r="F44" s="68" t="s">
        <v>85</v>
      </c>
      <c r="G44" s="68" t="s">
        <v>86</v>
      </c>
      <c r="H44" s="69" t="s">
        <v>87</v>
      </c>
      <c r="I44" s="70" t="s">
        <v>90</v>
      </c>
      <c r="J44" s="71"/>
      <c r="K44" s="71"/>
      <c r="O44" s="72"/>
      <c r="BN44" s="111"/>
      <c r="BO44" s="111"/>
      <c r="BP44" s="111"/>
      <c r="BQ44" s="111"/>
      <c r="BR44" s="111"/>
      <c r="BS44" s="111"/>
      <c r="BT44" s="111"/>
      <c r="BU44" s="111"/>
      <c r="BV44" s="111"/>
    </row>
    <row r="45" spans="1:78" ht="13.8" thickTop="1" x14ac:dyDescent="0.25">
      <c r="A45" s="66"/>
      <c r="B45" s="73">
        <v>1.5</v>
      </c>
      <c r="C45" s="74" t="s">
        <v>104</v>
      </c>
      <c r="D45" s="75">
        <v>5</v>
      </c>
      <c r="E45" s="75">
        <v>5</v>
      </c>
      <c r="F45" s="76">
        <v>8</v>
      </c>
      <c r="G45" s="77">
        <v>8.5</v>
      </c>
      <c r="H45" s="78">
        <v>9.5</v>
      </c>
      <c r="I45" s="79"/>
      <c r="J45" s="80"/>
      <c r="K45" s="80"/>
      <c r="O45" s="72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</row>
    <row r="46" spans="1:78" x14ac:dyDescent="0.25">
      <c r="A46" s="66"/>
      <c r="B46" s="81">
        <v>2.5</v>
      </c>
      <c r="C46" s="82" t="s">
        <v>104</v>
      </c>
      <c r="D46" s="83">
        <v>5.4</v>
      </c>
      <c r="E46" s="83">
        <v>5.4</v>
      </c>
      <c r="F46" s="84">
        <v>9.1</v>
      </c>
      <c r="G46" s="85">
        <v>9.6</v>
      </c>
      <c r="H46" s="86">
        <v>10.5</v>
      </c>
      <c r="I46" s="87">
        <v>15.8</v>
      </c>
      <c r="J46" s="88"/>
      <c r="K46" s="88"/>
      <c r="O46" s="72"/>
      <c r="BW46" s="111"/>
    </row>
    <row r="47" spans="1:78" x14ac:dyDescent="0.25">
      <c r="A47" s="66"/>
      <c r="B47" s="73">
        <v>4</v>
      </c>
      <c r="C47" s="74" t="s">
        <v>104</v>
      </c>
      <c r="D47" s="75">
        <v>5.9</v>
      </c>
      <c r="E47" s="75">
        <v>5.9</v>
      </c>
      <c r="F47" s="76">
        <v>10.1</v>
      </c>
      <c r="G47" s="77">
        <v>10.7</v>
      </c>
      <c r="H47" s="78">
        <v>11.8</v>
      </c>
      <c r="I47" s="89">
        <v>16.7</v>
      </c>
      <c r="J47" s="90"/>
      <c r="K47" s="90"/>
    </row>
    <row r="48" spans="1:78" x14ac:dyDescent="0.25">
      <c r="A48" s="66"/>
      <c r="B48" s="81">
        <v>6</v>
      </c>
      <c r="C48" s="82" t="s">
        <v>104</v>
      </c>
      <c r="D48" s="83">
        <v>6.5</v>
      </c>
      <c r="E48" s="83">
        <v>6.5</v>
      </c>
      <c r="F48" s="84">
        <v>11.2</v>
      </c>
      <c r="G48" s="85">
        <v>11.9</v>
      </c>
      <c r="H48" s="86">
        <v>13.3</v>
      </c>
      <c r="I48" s="87">
        <v>17.8</v>
      </c>
      <c r="J48" s="88"/>
      <c r="K48" s="88"/>
    </row>
    <row r="49" spans="1:77" x14ac:dyDescent="0.25">
      <c r="A49" s="66"/>
      <c r="B49" s="73">
        <v>10</v>
      </c>
      <c r="C49" s="74" t="s">
        <v>104</v>
      </c>
      <c r="D49" s="75">
        <v>7.7</v>
      </c>
      <c r="E49" s="75">
        <v>7.7</v>
      </c>
      <c r="F49" s="76">
        <v>13.4</v>
      </c>
      <c r="G49" s="77">
        <v>14.3</v>
      </c>
      <c r="H49" s="78">
        <v>16.100000000000001</v>
      </c>
      <c r="I49" s="89">
        <v>20</v>
      </c>
      <c r="J49" s="90"/>
      <c r="K49" s="90"/>
    </row>
    <row r="50" spans="1:77" x14ac:dyDescent="0.25">
      <c r="A50" s="66"/>
      <c r="B50" s="81">
        <v>16</v>
      </c>
      <c r="C50" s="82" t="s">
        <v>104</v>
      </c>
      <c r="D50" s="83">
        <v>9.3000000000000007</v>
      </c>
      <c r="E50" s="83">
        <v>9.3000000000000007</v>
      </c>
      <c r="F50" s="84">
        <v>17.7</v>
      </c>
      <c r="G50" s="85">
        <v>19.100000000000001</v>
      </c>
      <c r="H50" s="86">
        <v>20.9</v>
      </c>
      <c r="I50" s="87">
        <v>23.9</v>
      </c>
      <c r="J50" s="88"/>
      <c r="K50" s="88"/>
    </row>
    <row r="51" spans="1:77" x14ac:dyDescent="0.25">
      <c r="A51" s="66"/>
      <c r="B51" s="73">
        <v>25</v>
      </c>
      <c r="C51" s="74" t="s">
        <v>104</v>
      </c>
      <c r="D51" s="75">
        <v>11.4</v>
      </c>
      <c r="E51" s="75">
        <v>11.4</v>
      </c>
      <c r="F51" s="76">
        <v>21.6</v>
      </c>
      <c r="G51" s="77">
        <v>23.3</v>
      </c>
      <c r="H51" s="78">
        <v>25.8</v>
      </c>
      <c r="I51" s="89">
        <v>25.4</v>
      </c>
      <c r="J51" s="90"/>
      <c r="K51" s="90"/>
      <c r="BX51" s="111"/>
    </row>
    <row r="52" spans="1:77" x14ac:dyDescent="0.25">
      <c r="A52" s="66"/>
      <c r="B52" s="81">
        <v>35</v>
      </c>
      <c r="C52" s="82" t="s">
        <v>104</v>
      </c>
      <c r="D52" s="83">
        <v>12.7</v>
      </c>
      <c r="E52" s="83">
        <v>12.7</v>
      </c>
      <c r="F52" s="84">
        <v>24.4</v>
      </c>
      <c r="G52" s="85">
        <v>26.3</v>
      </c>
      <c r="H52" s="86">
        <v>28.9</v>
      </c>
      <c r="I52" s="87">
        <v>28</v>
      </c>
      <c r="J52" s="88"/>
      <c r="K52" s="88"/>
      <c r="O52" s="66"/>
    </row>
    <row r="53" spans="1:77" x14ac:dyDescent="0.25">
      <c r="A53" s="66"/>
      <c r="B53" s="73">
        <v>50</v>
      </c>
      <c r="C53" s="74" t="s">
        <v>104</v>
      </c>
      <c r="D53" s="75">
        <v>14.7</v>
      </c>
      <c r="E53" s="75">
        <v>14.7</v>
      </c>
      <c r="F53" s="76">
        <v>28.2</v>
      </c>
      <c r="G53" s="77">
        <v>30.4</v>
      </c>
      <c r="H53" s="78">
        <v>33.700000000000003</v>
      </c>
      <c r="I53" s="89">
        <v>32</v>
      </c>
      <c r="J53" s="90"/>
      <c r="K53" s="90"/>
      <c r="O53" s="66"/>
      <c r="BX53" s="111"/>
    </row>
    <row r="54" spans="1:77" x14ac:dyDescent="0.25">
      <c r="A54" s="66"/>
      <c r="B54" s="81">
        <v>70</v>
      </c>
      <c r="C54" s="82" t="s">
        <v>104</v>
      </c>
      <c r="D54" s="83">
        <v>16.8</v>
      </c>
      <c r="E54" s="83">
        <v>16.8</v>
      </c>
      <c r="F54" s="84">
        <v>32.6</v>
      </c>
      <c r="G54" s="85">
        <v>35</v>
      </c>
      <c r="H54" s="86">
        <v>38.9</v>
      </c>
      <c r="I54" s="87">
        <v>36.200000000000003</v>
      </c>
      <c r="J54" s="88"/>
      <c r="K54" s="88"/>
      <c r="O54" s="66"/>
      <c r="BX54" s="111"/>
    </row>
    <row r="55" spans="1:77" x14ac:dyDescent="0.25">
      <c r="A55" s="66"/>
      <c r="B55" s="73">
        <v>95</v>
      </c>
      <c r="C55" s="74" t="s">
        <v>104</v>
      </c>
      <c r="D55" s="75">
        <v>19.2</v>
      </c>
      <c r="E55" s="75">
        <v>19.2</v>
      </c>
      <c r="F55" s="76">
        <v>37.4</v>
      </c>
      <c r="G55" s="77">
        <v>40</v>
      </c>
      <c r="H55" s="78">
        <v>44.5</v>
      </c>
      <c r="I55" s="89">
        <v>40</v>
      </c>
      <c r="J55" s="90"/>
      <c r="K55" s="90"/>
      <c r="O55" s="66"/>
    </row>
    <row r="56" spans="1:77" x14ac:dyDescent="0.25">
      <c r="A56" s="66"/>
      <c r="B56" s="81">
        <v>120</v>
      </c>
      <c r="C56" s="82" t="s">
        <v>104</v>
      </c>
      <c r="D56" s="83">
        <v>21.3</v>
      </c>
      <c r="E56" s="83">
        <v>21.3</v>
      </c>
      <c r="F56" s="84">
        <v>41.8</v>
      </c>
      <c r="G56" s="85">
        <v>44.8</v>
      </c>
      <c r="H56" s="86">
        <v>50.8</v>
      </c>
      <c r="I56" s="87">
        <v>44.8</v>
      </c>
      <c r="J56" s="88"/>
      <c r="K56" s="88"/>
      <c r="O56" s="66"/>
    </row>
    <row r="57" spans="1:77" x14ac:dyDescent="0.25">
      <c r="A57" s="66"/>
      <c r="B57" s="73">
        <v>150</v>
      </c>
      <c r="C57" s="74" t="s">
        <v>104</v>
      </c>
      <c r="D57" s="75">
        <v>23.7</v>
      </c>
      <c r="E57" s="75">
        <v>23.7</v>
      </c>
      <c r="F57" s="76">
        <v>46.5</v>
      </c>
      <c r="G57" s="77">
        <v>50.8</v>
      </c>
      <c r="H57" s="78">
        <v>56.5</v>
      </c>
      <c r="I57" s="89">
        <v>49.7</v>
      </c>
      <c r="J57" s="90"/>
      <c r="K57" s="90"/>
      <c r="O57" s="66"/>
    </row>
    <row r="58" spans="1:77" x14ac:dyDescent="0.25">
      <c r="A58" s="66"/>
      <c r="B58" s="81">
        <v>185</v>
      </c>
      <c r="C58" s="91" t="s">
        <v>104</v>
      </c>
      <c r="D58" s="83">
        <v>25.8</v>
      </c>
      <c r="E58" s="83">
        <v>25.8</v>
      </c>
      <c r="F58" s="84">
        <v>51.7</v>
      </c>
      <c r="G58" s="85">
        <v>55.7</v>
      </c>
      <c r="H58" s="86">
        <v>61.8</v>
      </c>
      <c r="I58" s="87">
        <v>54.7</v>
      </c>
      <c r="J58" s="88"/>
      <c r="K58" s="88"/>
      <c r="O58" s="66"/>
    </row>
    <row r="59" spans="1:77" ht="13.8" thickBot="1" x14ac:dyDescent="0.3">
      <c r="A59" s="66"/>
      <c r="B59" s="73">
        <v>240</v>
      </c>
      <c r="C59" s="74" t="s">
        <v>104</v>
      </c>
      <c r="D59" s="75">
        <v>29.2</v>
      </c>
      <c r="E59" s="75">
        <v>29.2</v>
      </c>
      <c r="F59" s="92">
        <v>58.4</v>
      </c>
      <c r="G59" s="93">
        <v>62.7</v>
      </c>
      <c r="H59" s="94">
        <v>70.2</v>
      </c>
      <c r="I59" s="95">
        <v>61.7</v>
      </c>
      <c r="J59" s="96"/>
      <c r="K59" s="96"/>
      <c r="O59" s="66"/>
    </row>
    <row r="60" spans="1:77" ht="13.8" thickBot="1" x14ac:dyDescent="0.3">
      <c r="A60" s="66"/>
      <c r="B60" s="97">
        <v>300</v>
      </c>
      <c r="C60" s="98" t="s">
        <v>104</v>
      </c>
      <c r="D60" s="99">
        <v>31.7</v>
      </c>
      <c r="E60" s="99">
        <v>31.7</v>
      </c>
      <c r="H60" s="99"/>
      <c r="M60" s="66"/>
      <c r="N60" s="66"/>
      <c r="O60" s="66"/>
    </row>
    <row r="62" spans="1:77" x14ac:dyDescent="0.25">
      <c r="BY62" s="111"/>
    </row>
    <row r="64" spans="1:77" x14ac:dyDescent="0.25">
      <c r="BY64" s="111"/>
    </row>
    <row r="65" spans="77:77" x14ac:dyDescent="0.25">
      <c r="BY65" s="111"/>
    </row>
  </sheetData>
  <mergeCells count="50">
    <mergeCell ref="A1:G1"/>
    <mergeCell ref="M1:S1"/>
    <mergeCell ref="AI1:AO1"/>
    <mergeCell ref="AT1:AZ1"/>
    <mergeCell ref="D2:D4"/>
    <mergeCell ref="P2:P4"/>
    <mergeCell ref="AL2:AL4"/>
    <mergeCell ref="AW2:AW4"/>
    <mergeCell ref="AT2:AT4"/>
    <mergeCell ref="AU2:AU3"/>
    <mergeCell ref="AX2:AZ2"/>
    <mergeCell ref="AX3:AX4"/>
    <mergeCell ref="AE2:AG2"/>
    <mergeCell ref="AE3:AE4"/>
    <mergeCell ref="A2:A4"/>
    <mergeCell ref="B2:B3"/>
    <mergeCell ref="BA3:BA4"/>
    <mergeCell ref="AI2:AI4"/>
    <mergeCell ref="AJ2:AJ3"/>
    <mergeCell ref="AM2:AO2"/>
    <mergeCell ref="BH2:BI2"/>
    <mergeCell ref="BD3:BD4"/>
    <mergeCell ref="BA2:BC2"/>
    <mergeCell ref="AP2:AR2"/>
    <mergeCell ref="AM3:AM4"/>
    <mergeCell ref="AP3:AP4"/>
    <mergeCell ref="T2:V2"/>
    <mergeCell ref="Q3:Q4"/>
    <mergeCell ref="T3:T4"/>
    <mergeCell ref="M2:M4"/>
    <mergeCell ref="N2:N3"/>
    <mergeCell ref="Q2:S2"/>
    <mergeCell ref="K3:K4"/>
    <mergeCell ref="H2:J2"/>
    <mergeCell ref="E3:E4"/>
    <mergeCell ref="H3:H4"/>
    <mergeCell ref="E2:G2"/>
    <mergeCell ref="X1:AD1"/>
    <mergeCell ref="X2:X4"/>
    <mergeCell ref="Y2:Y3"/>
    <mergeCell ref="AA2:AA4"/>
    <mergeCell ref="AB2:AD2"/>
    <mergeCell ref="AB3:AB4"/>
    <mergeCell ref="B43:C44"/>
    <mergeCell ref="D43:H43"/>
    <mergeCell ref="M22:O22"/>
    <mergeCell ref="M38:N38"/>
    <mergeCell ref="M39:N39"/>
    <mergeCell ref="M40:N40"/>
    <mergeCell ref="B42:K42"/>
  </mergeCells>
  <phoneticPr fontId="21" type="noConversion"/>
  <conditionalFormatting sqref="O24">
    <cfRule type="cellIs" dxfId="3" priority="3" stopIfTrue="1" operator="between">
      <formula>1</formula>
      <formula>12.44</formula>
    </cfRule>
  </conditionalFormatting>
  <conditionalFormatting sqref="O25">
    <cfRule type="cellIs" dxfId="2" priority="4" stopIfTrue="1" operator="between">
      <formula>12.45</formula>
      <formula>15.75</formula>
    </cfRule>
  </conditionalFormatting>
  <conditionalFormatting sqref="O26 O28 O30 O32 O34 O36">
    <cfRule type="cellIs" dxfId="1" priority="1" stopIfTrue="1" operator="between">
      <formula>1</formula>
      <formula>12.44</formula>
    </cfRule>
  </conditionalFormatting>
  <conditionalFormatting sqref="O27 O29 O31 O33 O35">
    <cfRule type="cellIs" dxfId="0" priority="2" stopIfTrue="1" operator="between">
      <formula>12.45</formula>
      <formula>15.75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zoomScale="130" workbookViewId="0">
      <selection activeCell="E7" sqref="E7"/>
    </sheetView>
  </sheetViews>
  <sheetFormatPr defaultRowHeight="13.2" x14ac:dyDescent="0.25"/>
  <sheetData>
    <row r="1" spans="1:20" ht="14.4" thickBot="1" x14ac:dyDescent="0.3">
      <c r="A1" s="7" t="s">
        <v>30</v>
      </c>
      <c r="B1" s="7"/>
      <c r="C1" s="8"/>
      <c r="D1" s="8"/>
      <c r="E1" s="9"/>
      <c r="F1" s="10" t="s">
        <v>31</v>
      </c>
      <c r="G1" s="10" t="s">
        <v>32</v>
      </c>
      <c r="H1" s="11"/>
      <c r="I1" s="121" t="s">
        <v>132</v>
      </c>
      <c r="J1" s="122"/>
      <c r="K1" s="122"/>
      <c r="L1" s="123"/>
      <c r="M1" s="121" t="s">
        <v>133</v>
      </c>
      <c r="N1" s="122"/>
      <c r="O1" s="122"/>
      <c r="P1" s="123"/>
      <c r="Q1" s="121" t="s">
        <v>134</v>
      </c>
      <c r="R1" s="122"/>
      <c r="S1" s="122"/>
      <c r="T1" s="123"/>
    </row>
    <row r="2" spans="1:20" ht="24" thickBot="1" x14ac:dyDescent="0.3">
      <c r="A2" s="13"/>
      <c r="B2" s="12"/>
      <c r="C2" s="14"/>
      <c r="D2" s="14"/>
      <c r="E2" s="15" t="s">
        <v>33</v>
      </c>
      <c r="F2" s="16"/>
      <c r="G2" s="17"/>
      <c r="H2" s="15" t="s">
        <v>34</v>
      </c>
      <c r="I2" s="124"/>
      <c r="J2" s="125"/>
      <c r="K2" s="125"/>
      <c r="L2" s="126"/>
      <c r="M2" s="127"/>
      <c r="N2" s="125"/>
      <c r="O2" s="125"/>
      <c r="P2" s="126"/>
      <c r="Q2" s="128"/>
      <c r="R2" s="125"/>
      <c r="S2" s="125"/>
      <c r="T2" s="126"/>
    </row>
    <row r="3" spans="1:20" ht="13.8" thickBot="1" x14ac:dyDescent="0.3">
      <c r="A3" s="19" t="s">
        <v>36</v>
      </c>
      <c r="B3" s="18" t="s">
        <v>35</v>
      </c>
      <c r="C3" s="19" t="s">
        <v>37</v>
      </c>
      <c r="D3" s="19" t="s">
        <v>38</v>
      </c>
      <c r="E3" s="20"/>
      <c r="F3" s="237"/>
      <c r="G3" s="238"/>
      <c r="H3" s="20"/>
      <c r="I3" s="129" t="s">
        <v>197</v>
      </c>
      <c r="J3" s="130" t="s">
        <v>196</v>
      </c>
      <c r="K3" s="130" t="s">
        <v>136</v>
      </c>
      <c r="L3" s="130" t="s">
        <v>137</v>
      </c>
      <c r="M3" s="131" t="s">
        <v>197</v>
      </c>
      <c r="N3" s="130" t="s">
        <v>196</v>
      </c>
      <c r="O3" s="130" t="s">
        <v>136</v>
      </c>
      <c r="P3" s="130" t="s">
        <v>137</v>
      </c>
      <c r="Q3" s="129" t="s">
        <v>197</v>
      </c>
      <c r="R3" s="130" t="s">
        <v>196</v>
      </c>
      <c r="S3" s="130" t="s">
        <v>136</v>
      </c>
      <c r="T3" s="130" t="s">
        <v>137</v>
      </c>
    </row>
    <row r="4" spans="1:20" ht="13.8" thickBot="1" x14ac:dyDescent="0.3">
      <c r="A4" s="21" t="s">
        <v>39</v>
      </c>
      <c r="B4" s="21"/>
      <c r="C4" s="22"/>
      <c r="D4" s="22"/>
      <c r="E4" s="23"/>
      <c r="F4" s="22"/>
      <c r="G4" s="22"/>
      <c r="H4" s="24"/>
      <c r="I4" s="132"/>
      <c r="J4" s="133"/>
      <c r="K4" s="133"/>
      <c r="L4" s="133"/>
      <c r="M4" s="132"/>
      <c r="N4" s="133"/>
      <c r="O4" s="133"/>
      <c r="P4" s="133"/>
      <c r="Q4" s="134"/>
      <c r="R4" s="133"/>
      <c r="S4" s="133"/>
      <c r="T4" s="133"/>
    </row>
    <row r="5" spans="1:20" ht="13.8" thickBot="1" x14ac:dyDescent="0.3">
      <c r="A5" s="17">
        <v>0.12</v>
      </c>
      <c r="B5" s="18">
        <v>0.16</v>
      </c>
      <c r="C5" s="17">
        <v>63</v>
      </c>
      <c r="D5" s="17">
        <v>1720</v>
      </c>
      <c r="E5" s="23"/>
      <c r="F5" s="17">
        <v>0.61</v>
      </c>
      <c r="G5" s="17">
        <v>0.6</v>
      </c>
      <c r="H5" s="17">
        <v>7</v>
      </c>
      <c r="I5" s="135">
        <v>0.12</v>
      </c>
      <c r="J5" s="144" t="s">
        <v>214</v>
      </c>
      <c r="K5" s="144" t="s">
        <v>225</v>
      </c>
      <c r="L5" s="144" t="s">
        <v>139</v>
      </c>
      <c r="M5" s="145">
        <v>0.12</v>
      </c>
      <c r="N5" s="144">
        <v>0.63</v>
      </c>
      <c r="O5" s="144" t="s">
        <v>225</v>
      </c>
      <c r="P5" s="144" t="s">
        <v>139</v>
      </c>
      <c r="Q5" s="145">
        <v>0.12</v>
      </c>
      <c r="R5" s="148">
        <v>1</v>
      </c>
      <c r="S5" s="144" t="s">
        <v>225</v>
      </c>
      <c r="T5" s="144" t="s">
        <v>215</v>
      </c>
    </row>
    <row r="6" spans="1:20" ht="13.8" thickBot="1" x14ac:dyDescent="0.3">
      <c r="A6" s="17">
        <v>0.18</v>
      </c>
      <c r="B6" s="18">
        <v>0.25</v>
      </c>
      <c r="C6" s="17">
        <v>63</v>
      </c>
      <c r="D6" s="17">
        <v>1710</v>
      </c>
      <c r="E6" s="23"/>
      <c r="F6" s="17">
        <v>0.66500000000000004</v>
      </c>
      <c r="G6" s="17">
        <v>0.63</v>
      </c>
      <c r="H6" s="17">
        <v>7.5</v>
      </c>
      <c r="I6" s="135">
        <v>0.18</v>
      </c>
      <c r="J6" s="144">
        <v>0.63</v>
      </c>
      <c r="K6" s="144" t="s">
        <v>225</v>
      </c>
      <c r="L6" s="144" t="s">
        <v>202</v>
      </c>
      <c r="M6" s="145">
        <v>0.18</v>
      </c>
      <c r="N6" s="148">
        <v>1</v>
      </c>
      <c r="O6" s="144" t="s">
        <v>225</v>
      </c>
      <c r="P6" s="144" t="s">
        <v>202</v>
      </c>
      <c r="Q6" s="145">
        <v>0.18</v>
      </c>
      <c r="R6" s="147">
        <v>1.6</v>
      </c>
      <c r="S6" s="144" t="s">
        <v>225</v>
      </c>
      <c r="T6" s="144" t="s">
        <v>203</v>
      </c>
    </row>
    <row r="7" spans="1:20" ht="13.8" thickBot="1" x14ac:dyDescent="0.3">
      <c r="A7" s="17">
        <v>0.25</v>
      </c>
      <c r="B7" s="18">
        <v>0.33</v>
      </c>
      <c r="C7" s="17">
        <v>63</v>
      </c>
      <c r="D7" s="17">
        <v>1710</v>
      </c>
      <c r="E7" s="23"/>
      <c r="F7" s="17">
        <v>0.68500000000000005</v>
      </c>
      <c r="G7" s="17">
        <v>0.65</v>
      </c>
      <c r="H7" s="17">
        <v>8</v>
      </c>
      <c r="I7" s="135">
        <v>0.25</v>
      </c>
      <c r="J7" s="148">
        <v>1</v>
      </c>
      <c r="K7" s="144" t="s">
        <v>225</v>
      </c>
      <c r="L7" s="144" t="s">
        <v>202</v>
      </c>
      <c r="M7" s="145">
        <v>0.25</v>
      </c>
      <c r="N7" s="148">
        <v>1</v>
      </c>
      <c r="O7" s="144" t="s">
        <v>225</v>
      </c>
      <c r="P7" s="144" t="s">
        <v>215</v>
      </c>
      <c r="Q7" s="145">
        <v>0.25</v>
      </c>
      <c r="R7" s="147">
        <v>1.6</v>
      </c>
      <c r="S7" s="144" t="s">
        <v>225</v>
      </c>
      <c r="T7" s="144" t="s">
        <v>203</v>
      </c>
    </row>
    <row r="8" spans="1:20" ht="13.8" thickBot="1" x14ac:dyDescent="0.3">
      <c r="A8" s="17">
        <v>0.37</v>
      </c>
      <c r="B8" s="18">
        <v>0.5</v>
      </c>
      <c r="C8" s="17">
        <v>71</v>
      </c>
      <c r="D8" s="17">
        <v>1720</v>
      </c>
      <c r="E8" s="23"/>
      <c r="F8" s="17">
        <v>0.72</v>
      </c>
      <c r="G8" s="17">
        <v>0.65</v>
      </c>
      <c r="H8" s="17">
        <v>10</v>
      </c>
      <c r="I8" s="135">
        <v>0.37</v>
      </c>
      <c r="J8" s="147">
        <v>1.6</v>
      </c>
      <c r="K8" s="144" t="s">
        <v>225</v>
      </c>
      <c r="L8" s="144" t="s">
        <v>215</v>
      </c>
      <c r="M8" s="145">
        <v>0.37</v>
      </c>
      <c r="N8" s="147">
        <v>1.6</v>
      </c>
      <c r="O8" s="144" t="s">
        <v>225</v>
      </c>
      <c r="P8" s="144" t="s">
        <v>203</v>
      </c>
      <c r="Q8" s="145">
        <v>0.37</v>
      </c>
      <c r="R8" s="147">
        <v>2.5</v>
      </c>
      <c r="S8" s="144" t="s">
        <v>225</v>
      </c>
      <c r="T8" s="144" t="s">
        <v>204</v>
      </c>
    </row>
    <row r="9" spans="1:20" ht="13.8" thickBot="1" x14ac:dyDescent="0.3">
      <c r="A9" s="17">
        <v>0.55000000000000004</v>
      </c>
      <c r="B9" s="18">
        <v>0.75</v>
      </c>
      <c r="C9" s="17">
        <v>71</v>
      </c>
      <c r="D9" s="17">
        <v>1680</v>
      </c>
      <c r="E9" s="23"/>
      <c r="F9" s="17">
        <v>0.75</v>
      </c>
      <c r="G9" s="17">
        <v>0.68</v>
      </c>
      <c r="H9" s="17">
        <v>11.5</v>
      </c>
      <c r="I9" s="135">
        <v>0.55000000000000004</v>
      </c>
      <c r="J9" s="147">
        <v>1.6</v>
      </c>
      <c r="K9" s="144" t="s">
        <v>225</v>
      </c>
      <c r="L9" s="144" t="s">
        <v>203</v>
      </c>
      <c r="M9" s="145">
        <v>0.55000000000000004</v>
      </c>
      <c r="N9" s="147">
        <v>2.5</v>
      </c>
      <c r="O9" s="144" t="s">
        <v>225</v>
      </c>
      <c r="P9" s="144" t="s">
        <v>204</v>
      </c>
      <c r="Q9" s="145">
        <v>0.55000000000000004</v>
      </c>
      <c r="R9" s="148">
        <v>4</v>
      </c>
      <c r="S9" s="144" t="s">
        <v>225</v>
      </c>
      <c r="T9" s="144" t="s">
        <v>149</v>
      </c>
    </row>
    <row r="10" spans="1:20" ht="13.8" thickBot="1" x14ac:dyDescent="0.3">
      <c r="A10" s="17">
        <v>0.75</v>
      </c>
      <c r="B10" s="18">
        <v>1</v>
      </c>
      <c r="C10" s="17">
        <v>80</v>
      </c>
      <c r="D10" s="17">
        <v>1730</v>
      </c>
      <c r="E10" s="23"/>
      <c r="F10" s="17">
        <v>0.82599999999999996</v>
      </c>
      <c r="G10" s="17">
        <v>0.8</v>
      </c>
      <c r="H10" s="17">
        <v>18</v>
      </c>
      <c r="I10" s="135">
        <v>0.75</v>
      </c>
      <c r="J10" s="147">
        <v>1.6</v>
      </c>
      <c r="K10" s="144" t="s">
        <v>225</v>
      </c>
      <c r="L10" s="144" t="s">
        <v>203</v>
      </c>
      <c r="M10" s="145">
        <v>0.75</v>
      </c>
      <c r="N10" s="147">
        <v>2.5</v>
      </c>
      <c r="O10" s="144" t="s">
        <v>225</v>
      </c>
      <c r="P10" s="144" t="s">
        <v>204</v>
      </c>
      <c r="Q10" s="145">
        <v>0.75</v>
      </c>
      <c r="R10" s="148">
        <v>4</v>
      </c>
      <c r="S10" s="144" t="s">
        <v>225</v>
      </c>
      <c r="T10" s="144" t="s">
        <v>149</v>
      </c>
    </row>
    <row r="11" spans="1:20" ht="13.8" thickBot="1" x14ac:dyDescent="0.3">
      <c r="A11" s="17">
        <v>1.1000000000000001</v>
      </c>
      <c r="B11" s="18">
        <v>1.5</v>
      </c>
      <c r="C11" s="17">
        <v>80</v>
      </c>
      <c r="D11" s="17">
        <v>1715</v>
      </c>
      <c r="E11" s="23"/>
      <c r="F11" s="17">
        <v>0.81499999999999995</v>
      </c>
      <c r="G11" s="17">
        <v>0.82</v>
      </c>
      <c r="H11" s="17">
        <v>16</v>
      </c>
      <c r="I11" s="135">
        <v>1.1000000000000001</v>
      </c>
      <c r="J11" s="147">
        <v>2.5</v>
      </c>
      <c r="K11" s="144" t="s">
        <v>225</v>
      </c>
      <c r="L11" s="144" t="s">
        <v>204</v>
      </c>
      <c r="M11" s="145">
        <v>1.1000000000000001</v>
      </c>
      <c r="N11" s="148">
        <v>4</v>
      </c>
      <c r="O11" s="144" t="s">
        <v>225</v>
      </c>
      <c r="P11" s="144" t="s">
        <v>204</v>
      </c>
      <c r="Q11" s="145">
        <v>1.1000000000000001</v>
      </c>
      <c r="R11" s="147">
        <v>6.3</v>
      </c>
      <c r="S11" s="144" t="s">
        <v>225</v>
      </c>
      <c r="T11" s="144" t="s">
        <v>200</v>
      </c>
    </row>
    <row r="12" spans="1:20" ht="13.8" thickBot="1" x14ac:dyDescent="0.3">
      <c r="A12" s="17">
        <v>1.5</v>
      </c>
      <c r="B12" s="18">
        <v>2</v>
      </c>
      <c r="C12" s="17" t="s">
        <v>40</v>
      </c>
      <c r="D12" s="17">
        <v>1755</v>
      </c>
      <c r="E12" s="23"/>
      <c r="F12" s="17">
        <v>0.84199999999999997</v>
      </c>
      <c r="G12" s="17">
        <v>0.76</v>
      </c>
      <c r="H12" s="17">
        <v>20</v>
      </c>
      <c r="I12" s="135">
        <v>1.5</v>
      </c>
      <c r="J12" s="148">
        <v>4</v>
      </c>
      <c r="K12" s="144" t="s">
        <v>225</v>
      </c>
      <c r="L12" s="144" t="s">
        <v>200</v>
      </c>
      <c r="M12" s="145">
        <v>1.5</v>
      </c>
      <c r="N12" s="148">
        <v>4</v>
      </c>
      <c r="O12" s="144" t="s">
        <v>225</v>
      </c>
      <c r="P12" s="144" t="s">
        <v>149</v>
      </c>
      <c r="Q12" s="145">
        <v>1.5</v>
      </c>
      <c r="R12" s="147">
        <v>6.3</v>
      </c>
      <c r="S12" s="144" t="s">
        <v>225</v>
      </c>
      <c r="T12" s="144" t="s">
        <v>205</v>
      </c>
    </row>
    <row r="13" spans="1:20" ht="13.8" thickBot="1" x14ac:dyDescent="0.3">
      <c r="A13" s="17">
        <v>2.2000000000000002</v>
      </c>
      <c r="B13" s="18">
        <v>3</v>
      </c>
      <c r="C13" s="17" t="s">
        <v>41</v>
      </c>
      <c r="D13" s="17">
        <v>1735</v>
      </c>
      <c r="E13" s="23"/>
      <c r="F13" s="17">
        <v>0.85099999999999998</v>
      </c>
      <c r="G13" s="17">
        <v>0.82</v>
      </c>
      <c r="H13" s="17">
        <v>23</v>
      </c>
      <c r="I13" s="135">
        <v>2.2000000000000002</v>
      </c>
      <c r="J13" s="147">
        <v>6.3</v>
      </c>
      <c r="K13" s="144" t="s">
        <v>225</v>
      </c>
      <c r="L13" s="144" t="s">
        <v>200</v>
      </c>
      <c r="M13" s="145">
        <v>2.2000000000000002</v>
      </c>
      <c r="N13" s="147">
        <v>6.3</v>
      </c>
      <c r="O13" s="144" t="s">
        <v>225</v>
      </c>
      <c r="P13" s="144" t="s">
        <v>200</v>
      </c>
      <c r="Q13" s="145">
        <v>2.2000000000000002</v>
      </c>
      <c r="R13" s="148">
        <v>10</v>
      </c>
      <c r="S13" s="144" t="s">
        <v>140</v>
      </c>
      <c r="T13" s="144" t="s">
        <v>154</v>
      </c>
    </row>
    <row r="14" spans="1:20" ht="13.8" thickBot="1" x14ac:dyDescent="0.3">
      <c r="A14" s="17">
        <v>3</v>
      </c>
      <c r="B14" s="18">
        <v>4</v>
      </c>
      <c r="C14" s="17" t="s">
        <v>42</v>
      </c>
      <c r="D14" s="17">
        <v>1720</v>
      </c>
      <c r="E14" s="23"/>
      <c r="F14" s="17">
        <v>0.86499999999999999</v>
      </c>
      <c r="G14" s="17">
        <v>0.82</v>
      </c>
      <c r="H14" s="17">
        <v>30</v>
      </c>
      <c r="I14" s="135">
        <v>3</v>
      </c>
      <c r="J14" s="147">
        <v>6.3</v>
      </c>
      <c r="K14" s="144" t="s">
        <v>225</v>
      </c>
      <c r="L14" s="144" t="s">
        <v>200</v>
      </c>
      <c r="M14" s="145">
        <v>3</v>
      </c>
      <c r="N14" s="148">
        <v>10</v>
      </c>
      <c r="O14" s="144" t="s">
        <v>225</v>
      </c>
      <c r="P14" s="144" t="s">
        <v>205</v>
      </c>
      <c r="Q14" s="145">
        <v>3</v>
      </c>
      <c r="R14" s="148">
        <v>16</v>
      </c>
      <c r="S14" s="144" t="s">
        <v>156</v>
      </c>
      <c r="T14" s="144" t="s">
        <v>226</v>
      </c>
    </row>
    <row r="15" spans="1:20" ht="13.8" thickBot="1" x14ac:dyDescent="0.3">
      <c r="A15" s="17">
        <v>3.7</v>
      </c>
      <c r="B15" s="18">
        <v>5</v>
      </c>
      <c r="C15" s="17" t="s">
        <v>42</v>
      </c>
      <c r="D15" s="17">
        <v>1720</v>
      </c>
      <c r="E15" s="23"/>
      <c r="F15" s="17">
        <v>0.88</v>
      </c>
      <c r="G15" s="17">
        <v>0.8</v>
      </c>
      <c r="H15" s="17">
        <v>33</v>
      </c>
      <c r="I15" s="135">
        <v>3.7</v>
      </c>
      <c r="J15" s="148">
        <v>10</v>
      </c>
      <c r="K15" s="144" t="s">
        <v>140</v>
      </c>
      <c r="L15" s="144" t="s">
        <v>205</v>
      </c>
      <c r="M15" s="145">
        <v>3.7</v>
      </c>
      <c r="N15" s="148">
        <v>10</v>
      </c>
      <c r="O15" s="144" t="s">
        <v>140</v>
      </c>
      <c r="P15" s="144" t="s">
        <v>154</v>
      </c>
      <c r="Q15" s="145">
        <v>3.7</v>
      </c>
      <c r="R15" s="148">
        <v>16</v>
      </c>
      <c r="S15" s="144" t="s">
        <v>162</v>
      </c>
      <c r="T15" s="144" t="s">
        <v>206</v>
      </c>
    </row>
    <row r="16" spans="1:20" ht="13.8" thickBot="1" x14ac:dyDescent="0.3">
      <c r="A16" s="17">
        <v>4.5</v>
      </c>
      <c r="B16" s="18">
        <v>6</v>
      </c>
      <c r="C16" s="17" t="s">
        <v>43</v>
      </c>
      <c r="D16" s="17">
        <v>1735</v>
      </c>
      <c r="E16" s="23"/>
      <c r="F16" s="17">
        <v>0.89</v>
      </c>
      <c r="G16" s="17">
        <v>0.81</v>
      </c>
      <c r="H16" s="17">
        <v>45</v>
      </c>
      <c r="I16" s="135">
        <v>4.5</v>
      </c>
      <c r="J16" s="148">
        <v>10</v>
      </c>
      <c r="K16" s="144" t="s">
        <v>140</v>
      </c>
      <c r="L16" s="144" t="s">
        <v>154</v>
      </c>
      <c r="M16" s="145">
        <v>4.5</v>
      </c>
      <c r="N16" s="148">
        <v>10</v>
      </c>
      <c r="O16" s="144" t="s">
        <v>156</v>
      </c>
      <c r="P16" s="144" t="s">
        <v>226</v>
      </c>
      <c r="Q16" s="145">
        <v>4.5</v>
      </c>
      <c r="R16" s="148">
        <v>20</v>
      </c>
      <c r="S16" s="144" t="s">
        <v>158</v>
      </c>
      <c r="T16" s="144" t="s">
        <v>207</v>
      </c>
    </row>
    <row r="17" spans="1:20" ht="13.8" thickBot="1" x14ac:dyDescent="0.3">
      <c r="A17" s="17">
        <v>5.5</v>
      </c>
      <c r="B17" s="18">
        <v>7.5</v>
      </c>
      <c r="C17" s="17" t="s">
        <v>43</v>
      </c>
      <c r="D17" s="17">
        <v>1740</v>
      </c>
      <c r="E17" s="23"/>
      <c r="F17" s="17">
        <v>0.9</v>
      </c>
      <c r="G17" s="17">
        <v>0.8</v>
      </c>
      <c r="H17" s="17">
        <v>46</v>
      </c>
      <c r="I17" s="135">
        <v>5.5</v>
      </c>
      <c r="J17" s="148">
        <v>10</v>
      </c>
      <c r="K17" s="144" t="s">
        <v>156</v>
      </c>
      <c r="L17" s="144" t="s">
        <v>157</v>
      </c>
      <c r="M17" s="145">
        <v>5.5</v>
      </c>
      <c r="N17" s="148">
        <v>16</v>
      </c>
      <c r="O17" s="144" t="s">
        <v>156</v>
      </c>
      <c r="P17" s="144" t="s">
        <v>206</v>
      </c>
      <c r="Q17" s="145">
        <v>5.5</v>
      </c>
      <c r="R17" s="148">
        <v>20</v>
      </c>
      <c r="S17" s="144" t="s">
        <v>160</v>
      </c>
      <c r="T17" s="144" t="s">
        <v>208</v>
      </c>
    </row>
    <row r="18" spans="1:20" ht="13.8" thickBot="1" x14ac:dyDescent="0.3">
      <c r="A18" s="17">
        <v>7.5</v>
      </c>
      <c r="B18" s="18">
        <v>10</v>
      </c>
      <c r="C18" s="17" t="s">
        <v>44</v>
      </c>
      <c r="D18" s="17">
        <v>1760</v>
      </c>
      <c r="E18" s="23"/>
      <c r="F18" s="17">
        <v>0.91</v>
      </c>
      <c r="G18" s="17">
        <v>0.82</v>
      </c>
      <c r="H18" s="17">
        <v>65</v>
      </c>
      <c r="I18" s="135">
        <v>7.5</v>
      </c>
      <c r="J18" s="148">
        <v>16</v>
      </c>
      <c r="K18" s="144" t="s">
        <v>162</v>
      </c>
      <c r="L18" s="144" t="s">
        <v>206</v>
      </c>
      <c r="M18" s="145">
        <v>7.5</v>
      </c>
      <c r="N18" s="148">
        <v>16</v>
      </c>
      <c r="O18" s="144" t="s">
        <v>162</v>
      </c>
      <c r="P18" s="144" t="s">
        <v>207</v>
      </c>
      <c r="Q18" s="145">
        <v>7.5</v>
      </c>
      <c r="R18" s="148">
        <v>32</v>
      </c>
      <c r="S18" s="144" t="s">
        <v>163</v>
      </c>
      <c r="T18" s="144" t="s">
        <v>164</v>
      </c>
    </row>
    <row r="19" spans="1:20" ht="13.8" thickBot="1" x14ac:dyDescent="0.3">
      <c r="A19" s="17">
        <v>9.1999999999999993</v>
      </c>
      <c r="B19" s="18">
        <v>12.5</v>
      </c>
      <c r="C19" s="17" t="s">
        <v>45</v>
      </c>
      <c r="D19" s="17">
        <v>1760</v>
      </c>
      <c r="E19" s="23"/>
      <c r="F19" s="17">
        <v>0.91</v>
      </c>
      <c r="G19" s="17">
        <v>0.83</v>
      </c>
      <c r="H19" s="17">
        <v>75</v>
      </c>
      <c r="I19" s="135">
        <v>9.1999999999999993</v>
      </c>
      <c r="J19" s="148">
        <v>16</v>
      </c>
      <c r="K19" s="144" t="s">
        <v>158</v>
      </c>
      <c r="L19" s="144" t="s">
        <v>207</v>
      </c>
      <c r="M19" s="145">
        <v>9.1999999999999993</v>
      </c>
      <c r="N19" s="148">
        <v>20</v>
      </c>
      <c r="O19" s="144" t="s">
        <v>160</v>
      </c>
      <c r="P19" s="144" t="s">
        <v>208</v>
      </c>
      <c r="Q19" s="145">
        <v>9.1999999999999993</v>
      </c>
      <c r="R19" s="148">
        <v>32</v>
      </c>
      <c r="S19" s="144" t="s">
        <v>163</v>
      </c>
      <c r="T19" s="144" t="s">
        <v>201</v>
      </c>
    </row>
    <row r="20" spans="1:20" ht="13.8" thickBot="1" x14ac:dyDescent="0.3">
      <c r="A20" s="17">
        <v>11</v>
      </c>
      <c r="B20" s="18">
        <v>15</v>
      </c>
      <c r="C20" s="17" t="s">
        <v>46</v>
      </c>
      <c r="D20" s="17">
        <v>1755</v>
      </c>
      <c r="E20" s="23"/>
      <c r="F20" s="17">
        <v>0.91700000000000004</v>
      </c>
      <c r="G20" s="17">
        <v>0.84</v>
      </c>
      <c r="H20" s="17">
        <v>78</v>
      </c>
      <c r="I20" s="135">
        <v>11</v>
      </c>
      <c r="J20" s="148">
        <v>20</v>
      </c>
      <c r="K20" s="144" t="s">
        <v>160</v>
      </c>
      <c r="L20" s="144" t="s">
        <v>208</v>
      </c>
      <c r="M20" s="145">
        <v>11</v>
      </c>
      <c r="N20" s="148">
        <v>25</v>
      </c>
      <c r="O20" s="144" t="s">
        <v>160</v>
      </c>
      <c r="P20" s="144" t="s">
        <v>208</v>
      </c>
      <c r="Q20" s="145">
        <v>11</v>
      </c>
      <c r="R20" s="148">
        <v>40</v>
      </c>
      <c r="S20" s="144" t="s">
        <v>167</v>
      </c>
      <c r="T20" s="144" t="s">
        <v>227</v>
      </c>
    </row>
    <row r="21" spans="1:20" ht="13.8" thickBot="1" x14ac:dyDescent="0.3">
      <c r="A21" s="17">
        <v>15</v>
      </c>
      <c r="B21" s="18">
        <v>20</v>
      </c>
      <c r="C21" s="17" t="s">
        <v>48</v>
      </c>
      <c r="D21" s="17">
        <v>1765</v>
      </c>
      <c r="E21" s="23"/>
      <c r="F21" s="17">
        <v>0.92400000000000004</v>
      </c>
      <c r="G21" s="17">
        <v>0.8</v>
      </c>
      <c r="H21" s="17">
        <v>120</v>
      </c>
      <c r="I21" s="135">
        <v>15</v>
      </c>
      <c r="J21" s="148">
        <v>32</v>
      </c>
      <c r="K21" s="144" t="s">
        <v>163</v>
      </c>
      <c r="L21" s="144" t="s">
        <v>164</v>
      </c>
      <c r="M21" s="145">
        <v>15</v>
      </c>
      <c r="N21" s="148">
        <v>32</v>
      </c>
      <c r="O21" s="144" t="s">
        <v>163</v>
      </c>
      <c r="P21" s="144" t="s">
        <v>201</v>
      </c>
      <c r="Q21" s="145">
        <v>15</v>
      </c>
      <c r="R21" s="148">
        <v>65</v>
      </c>
      <c r="S21" s="144" t="s">
        <v>172</v>
      </c>
      <c r="T21" s="144" t="s">
        <v>210</v>
      </c>
    </row>
    <row r="22" spans="1:20" ht="13.8" thickBot="1" x14ac:dyDescent="0.3">
      <c r="A22" s="17">
        <v>18.5</v>
      </c>
      <c r="B22" s="18">
        <v>25</v>
      </c>
      <c r="C22" s="17" t="s">
        <v>47</v>
      </c>
      <c r="D22" s="17">
        <v>1760</v>
      </c>
      <c r="E22" s="23"/>
      <c r="F22" s="17">
        <v>0.92600000000000005</v>
      </c>
      <c r="G22" s="17">
        <v>0.81</v>
      </c>
      <c r="H22" s="17">
        <v>135</v>
      </c>
      <c r="I22" s="135">
        <v>18.5</v>
      </c>
      <c r="J22" s="148">
        <v>32</v>
      </c>
      <c r="K22" s="144" t="s">
        <v>167</v>
      </c>
      <c r="L22" s="144" t="s">
        <v>201</v>
      </c>
      <c r="M22" s="145">
        <v>18.5</v>
      </c>
      <c r="N22" s="148">
        <v>40</v>
      </c>
      <c r="O22" s="144" t="s">
        <v>167</v>
      </c>
      <c r="P22" s="144" t="s">
        <v>201</v>
      </c>
      <c r="Q22" s="145">
        <v>18.5</v>
      </c>
      <c r="R22" s="148">
        <v>65</v>
      </c>
      <c r="S22" s="144" t="s">
        <v>172</v>
      </c>
      <c r="T22" s="144" t="s">
        <v>230</v>
      </c>
    </row>
    <row r="23" spans="1:20" ht="13.8" thickBot="1" x14ac:dyDescent="0.3">
      <c r="A23" s="17">
        <v>22</v>
      </c>
      <c r="B23" s="18">
        <v>30</v>
      </c>
      <c r="C23" s="17" t="s">
        <v>49</v>
      </c>
      <c r="D23" s="17">
        <v>1760</v>
      </c>
      <c r="E23" s="23"/>
      <c r="F23" s="17">
        <v>0.93</v>
      </c>
      <c r="G23" s="17">
        <v>0.85</v>
      </c>
      <c r="H23" s="17">
        <v>185</v>
      </c>
      <c r="I23" s="135">
        <v>22</v>
      </c>
      <c r="J23" s="148">
        <v>40</v>
      </c>
      <c r="K23" s="144" t="s">
        <v>167</v>
      </c>
      <c r="L23" s="144" t="s">
        <v>201</v>
      </c>
      <c r="M23" s="145">
        <v>22</v>
      </c>
      <c r="N23" s="148">
        <v>50</v>
      </c>
      <c r="O23" s="144" t="s">
        <v>170</v>
      </c>
      <c r="P23" s="144" t="s">
        <v>227</v>
      </c>
      <c r="Q23" s="145">
        <v>22</v>
      </c>
      <c r="R23" s="148">
        <v>90</v>
      </c>
      <c r="S23" s="144" t="s">
        <v>174</v>
      </c>
      <c r="T23" s="144" t="s">
        <v>211</v>
      </c>
    </row>
    <row r="24" spans="1:20" ht="13.8" thickBot="1" x14ac:dyDescent="0.3">
      <c r="A24" s="17">
        <v>30</v>
      </c>
      <c r="B24" s="18">
        <v>40</v>
      </c>
      <c r="C24" s="17" t="s">
        <v>50</v>
      </c>
      <c r="D24" s="17">
        <v>1770</v>
      </c>
      <c r="E24" s="23"/>
      <c r="F24" s="17">
        <v>0.93</v>
      </c>
      <c r="G24" s="17">
        <v>0.85</v>
      </c>
      <c r="H24" s="17">
        <v>218</v>
      </c>
      <c r="I24" s="135">
        <v>30</v>
      </c>
      <c r="J24" s="148">
        <v>50</v>
      </c>
      <c r="K24" s="144" t="s">
        <v>170</v>
      </c>
      <c r="L24" s="144" t="s">
        <v>210</v>
      </c>
      <c r="M24" s="145">
        <v>30</v>
      </c>
      <c r="N24" s="148">
        <v>65</v>
      </c>
      <c r="O24" s="144" t="s">
        <v>172</v>
      </c>
      <c r="P24" s="144" t="s">
        <v>209</v>
      </c>
      <c r="Q24" s="145">
        <v>30</v>
      </c>
      <c r="R24" s="148" t="s">
        <v>183</v>
      </c>
      <c r="S24" s="144" t="s">
        <v>183</v>
      </c>
      <c r="T24" s="144" t="s">
        <v>228</v>
      </c>
    </row>
    <row r="25" spans="1:20" ht="13.8" thickBot="1" x14ac:dyDescent="0.3">
      <c r="A25" s="17">
        <v>37</v>
      </c>
      <c r="B25" s="18">
        <v>50</v>
      </c>
      <c r="C25" s="17" t="s">
        <v>51</v>
      </c>
      <c r="D25" s="17">
        <v>1770</v>
      </c>
      <c r="E25" s="23"/>
      <c r="F25" s="17">
        <v>0.93200000000000005</v>
      </c>
      <c r="G25" s="17">
        <v>0.85</v>
      </c>
      <c r="H25" s="17">
        <v>274</v>
      </c>
      <c r="I25" s="135">
        <v>37</v>
      </c>
      <c r="J25" s="148">
        <v>65</v>
      </c>
      <c r="K25" s="144" t="s">
        <v>172</v>
      </c>
      <c r="L25" s="144" t="s">
        <v>209</v>
      </c>
      <c r="M25" s="145">
        <v>37</v>
      </c>
      <c r="N25" s="144" t="s">
        <v>174</v>
      </c>
      <c r="O25" s="144" t="s">
        <v>174</v>
      </c>
      <c r="P25" s="144" t="s">
        <v>211</v>
      </c>
      <c r="Q25" s="145">
        <v>37</v>
      </c>
      <c r="R25" s="148" t="s">
        <v>186</v>
      </c>
      <c r="S25" s="144" t="s">
        <v>186</v>
      </c>
      <c r="T25" s="144" t="s">
        <v>213</v>
      </c>
    </row>
    <row r="26" spans="1:20" ht="13.8" thickBot="1" x14ac:dyDescent="0.3">
      <c r="A26" s="17">
        <v>45</v>
      </c>
      <c r="B26" s="18">
        <v>60</v>
      </c>
      <c r="C26" s="17" t="s">
        <v>52</v>
      </c>
      <c r="D26" s="17">
        <v>1780</v>
      </c>
      <c r="E26" s="23"/>
      <c r="F26" s="17">
        <v>0.93899999999999995</v>
      </c>
      <c r="G26" s="17">
        <v>0.86</v>
      </c>
      <c r="H26" s="17">
        <v>410</v>
      </c>
      <c r="I26" s="135">
        <v>45</v>
      </c>
      <c r="J26" s="148">
        <v>75</v>
      </c>
      <c r="K26" s="144" t="s">
        <v>174</v>
      </c>
      <c r="L26" s="144" t="s">
        <v>211</v>
      </c>
      <c r="M26" s="145">
        <v>45</v>
      </c>
      <c r="N26" s="144" t="s">
        <v>180</v>
      </c>
      <c r="O26" s="144" t="s">
        <v>180</v>
      </c>
      <c r="P26" s="144" t="s">
        <v>212</v>
      </c>
      <c r="Q26" s="145">
        <v>45</v>
      </c>
      <c r="R26" s="148" t="s">
        <v>186</v>
      </c>
      <c r="S26" s="144" t="s">
        <v>186</v>
      </c>
      <c r="T26" s="144" t="s">
        <v>213</v>
      </c>
    </row>
    <row r="27" spans="1:20" ht="13.8" thickBot="1" x14ac:dyDescent="0.3">
      <c r="A27" s="17">
        <v>55</v>
      </c>
      <c r="B27" s="18">
        <v>75</v>
      </c>
      <c r="C27" s="17" t="s">
        <v>52</v>
      </c>
      <c r="D27" s="17">
        <v>1775</v>
      </c>
      <c r="E27" s="23"/>
      <c r="F27" s="17">
        <v>0.94099999999999995</v>
      </c>
      <c r="G27" s="17">
        <v>0.88</v>
      </c>
      <c r="H27" s="17">
        <v>410</v>
      </c>
      <c r="I27" s="135">
        <v>55</v>
      </c>
      <c r="J27" s="148">
        <v>100</v>
      </c>
      <c r="K27" s="144" t="s">
        <v>180</v>
      </c>
      <c r="L27" s="144" t="s">
        <v>212</v>
      </c>
      <c r="M27" s="145">
        <v>55</v>
      </c>
      <c r="N27" s="144" t="s">
        <v>183</v>
      </c>
      <c r="O27" s="144" t="s">
        <v>183</v>
      </c>
      <c r="P27" s="144" t="s">
        <v>228</v>
      </c>
      <c r="Q27" s="145">
        <v>55</v>
      </c>
      <c r="R27" s="144" t="s">
        <v>217</v>
      </c>
      <c r="S27" s="144" t="s">
        <v>182</v>
      </c>
      <c r="T27" s="144" t="s">
        <v>216</v>
      </c>
    </row>
    <row r="28" spans="1:20" ht="13.8" thickBot="1" x14ac:dyDescent="0.3">
      <c r="A28" s="17">
        <v>75</v>
      </c>
      <c r="B28" s="18">
        <v>100</v>
      </c>
      <c r="C28" s="17" t="s">
        <v>53</v>
      </c>
      <c r="D28" s="17">
        <v>1785</v>
      </c>
      <c r="E28" s="23"/>
      <c r="F28" s="17">
        <v>0.94499999999999995</v>
      </c>
      <c r="G28" s="17">
        <v>0.85</v>
      </c>
      <c r="H28" s="17">
        <v>510</v>
      </c>
      <c r="I28" s="135">
        <v>75</v>
      </c>
      <c r="J28" s="148" t="s">
        <v>186</v>
      </c>
      <c r="K28" s="144" t="s">
        <v>186</v>
      </c>
      <c r="L28" s="144" t="s">
        <v>213</v>
      </c>
      <c r="M28" s="145">
        <v>75</v>
      </c>
      <c r="N28" s="144" t="s">
        <v>186</v>
      </c>
      <c r="O28" s="144" t="s">
        <v>186</v>
      </c>
      <c r="P28" s="144" t="s">
        <v>213</v>
      </c>
      <c r="Q28" s="145">
        <v>75</v>
      </c>
      <c r="R28" s="144" t="s">
        <v>185</v>
      </c>
      <c r="S28" s="144" t="s">
        <v>185</v>
      </c>
      <c r="T28" s="144" t="s">
        <v>218</v>
      </c>
    </row>
    <row r="29" spans="1:20" ht="13.8" thickBot="1" x14ac:dyDescent="0.3">
      <c r="A29" s="17">
        <v>90</v>
      </c>
      <c r="B29" s="18">
        <v>125</v>
      </c>
      <c r="C29" s="17" t="s">
        <v>54</v>
      </c>
      <c r="D29" s="17">
        <v>1785</v>
      </c>
      <c r="E29" s="23"/>
      <c r="F29" s="17">
        <v>0.95</v>
      </c>
      <c r="G29" s="17">
        <v>0.85</v>
      </c>
      <c r="H29" s="17">
        <v>700</v>
      </c>
      <c r="I29" s="135">
        <v>90</v>
      </c>
      <c r="J29" s="148" t="s">
        <v>186</v>
      </c>
      <c r="K29" s="144" t="s">
        <v>186</v>
      </c>
      <c r="L29" s="144" t="s">
        <v>213</v>
      </c>
      <c r="M29" s="145">
        <v>90</v>
      </c>
      <c r="N29" s="144" t="s">
        <v>217</v>
      </c>
      <c r="O29" s="144" t="s">
        <v>182</v>
      </c>
      <c r="P29" s="144" t="s">
        <v>216</v>
      </c>
      <c r="Q29" s="145">
        <v>90</v>
      </c>
      <c r="R29" s="144" t="s">
        <v>219</v>
      </c>
      <c r="S29" s="144" t="s">
        <v>188</v>
      </c>
      <c r="T29" s="144" t="s">
        <v>218</v>
      </c>
    </row>
    <row r="30" spans="1:20" ht="13.8" thickBot="1" x14ac:dyDescent="0.3">
      <c r="A30" s="17">
        <v>110</v>
      </c>
      <c r="B30" s="18">
        <v>150</v>
      </c>
      <c r="C30" s="17" t="s">
        <v>54</v>
      </c>
      <c r="D30" s="17">
        <v>1785</v>
      </c>
      <c r="E30" s="23"/>
      <c r="F30" s="17">
        <v>0.95</v>
      </c>
      <c r="G30" s="17">
        <v>0.86</v>
      </c>
      <c r="H30" s="17">
        <v>740</v>
      </c>
      <c r="I30" s="135">
        <v>110</v>
      </c>
      <c r="J30" s="148" t="s">
        <v>217</v>
      </c>
      <c r="K30" s="144" t="s">
        <v>182</v>
      </c>
      <c r="L30" s="144" t="s">
        <v>216</v>
      </c>
      <c r="M30" s="145">
        <v>110</v>
      </c>
      <c r="N30" s="144" t="s">
        <v>185</v>
      </c>
      <c r="O30" s="144" t="s">
        <v>185</v>
      </c>
      <c r="P30" s="144" t="s">
        <v>216</v>
      </c>
      <c r="Q30" s="145">
        <v>110</v>
      </c>
      <c r="R30" s="144" t="s">
        <v>221</v>
      </c>
      <c r="S30" s="144" t="s">
        <v>190</v>
      </c>
      <c r="T30" s="144" t="s">
        <v>220</v>
      </c>
    </row>
    <row r="31" spans="1:20" ht="13.8" thickBot="1" x14ac:dyDescent="0.3">
      <c r="A31" s="17">
        <v>132</v>
      </c>
      <c r="B31" s="18">
        <v>175</v>
      </c>
      <c r="C31" s="17" t="s">
        <v>55</v>
      </c>
      <c r="D31" s="17">
        <v>1785</v>
      </c>
      <c r="E31" s="23"/>
      <c r="F31" s="17">
        <v>0.95</v>
      </c>
      <c r="G31" s="17">
        <v>0.87</v>
      </c>
      <c r="H31" s="17">
        <v>841</v>
      </c>
      <c r="I31" s="135">
        <v>132</v>
      </c>
      <c r="J31" s="148" t="s">
        <v>185</v>
      </c>
      <c r="K31" s="144" t="s">
        <v>185</v>
      </c>
      <c r="L31" s="144" t="s">
        <v>218</v>
      </c>
      <c r="M31" s="145">
        <v>132</v>
      </c>
      <c r="N31" s="144" t="s">
        <v>185</v>
      </c>
      <c r="O31" s="144" t="s">
        <v>185</v>
      </c>
      <c r="P31" s="144" t="s">
        <v>218</v>
      </c>
      <c r="Q31" s="145">
        <v>132</v>
      </c>
      <c r="R31" s="144" t="s">
        <v>221</v>
      </c>
      <c r="S31" s="144" t="s">
        <v>222</v>
      </c>
      <c r="T31" s="144" t="s">
        <v>223</v>
      </c>
    </row>
    <row r="32" spans="1:20" ht="13.8" thickBot="1" x14ac:dyDescent="0.3">
      <c r="A32" s="17">
        <v>150</v>
      </c>
      <c r="B32" s="18">
        <v>200</v>
      </c>
      <c r="C32" s="17" t="s">
        <v>54</v>
      </c>
      <c r="D32" s="17">
        <v>1785</v>
      </c>
      <c r="E32" s="23"/>
      <c r="F32" s="17">
        <v>0.95499999999999996</v>
      </c>
      <c r="G32" s="17">
        <v>0.87</v>
      </c>
      <c r="H32" s="17">
        <v>868</v>
      </c>
      <c r="I32" s="135">
        <v>150</v>
      </c>
      <c r="J32" s="148" t="s">
        <v>185</v>
      </c>
      <c r="K32" s="144" t="s">
        <v>185</v>
      </c>
      <c r="L32" s="144" t="s">
        <v>218</v>
      </c>
      <c r="M32" s="145">
        <v>150</v>
      </c>
      <c r="N32" s="144" t="s">
        <v>219</v>
      </c>
      <c r="O32" s="144" t="s">
        <v>188</v>
      </c>
      <c r="P32" s="144" t="s">
        <v>218</v>
      </c>
      <c r="Q32" s="145">
        <v>150</v>
      </c>
      <c r="R32" s="144" t="s">
        <v>222</v>
      </c>
      <c r="S32" s="144" t="s">
        <v>222</v>
      </c>
      <c r="T32" s="144" t="s">
        <v>223</v>
      </c>
    </row>
    <row r="33" spans="1:20" ht="13.8" thickBot="1" x14ac:dyDescent="0.3">
      <c r="A33" s="17">
        <v>185</v>
      </c>
      <c r="B33" s="18">
        <v>250</v>
      </c>
      <c r="C33" s="17" t="s">
        <v>55</v>
      </c>
      <c r="D33" s="17">
        <v>1785</v>
      </c>
      <c r="E33" s="23"/>
      <c r="F33" s="17">
        <v>0.95499999999999996</v>
      </c>
      <c r="G33" s="17">
        <v>0.86</v>
      </c>
      <c r="H33" s="17">
        <v>1005</v>
      </c>
      <c r="I33" s="135">
        <v>185</v>
      </c>
      <c r="J33" s="148" t="s">
        <v>219</v>
      </c>
      <c r="K33" s="144" t="s">
        <v>188</v>
      </c>
      <c r="L33" s="144" t="s">
        <v>218</v>
      </c>
      <c r="M33" s="145">
        <v>185</v>
      </c>
      <c r="N33" s="144" t="s">
        <v>221</v>
      </c>
      <c r="O33" s="144" t="s">
        <v>190</v>
      </c>
      <c r="P33" s="144" t="s">
        <v>220</v>
      </c>
      <c r="Q33" s="145">
        <v>185</v>
      </c>
      <c r="R33" s="144" t="s">
        <v>224</v>
      </c>
      <c r="S33" s="144" t="s">
        <v>192</v>
      </c>
      <c r="T33" s="144" t="s">
        <v>229</v>
      </c>
    </row>
    <row r="34" spans="1:20" ht="13.8" thickBot="1" x14ac:dyDescent="0.3">
      <c r="A34" s="17">
        <v>220</v>
      </c>
      <c r="B34" s="18">
        <v>300</v>
      </c>
      <c r="C34" s="17" t="s">
        <v>56</v>
      </c>
      <c r="D34" s="17">
        <v>1790</v>
      </c>
      <c r="E34" s="23"/>
      <c r="F34" s="17">
        <v>0.95499999999999996</v>
      </c>
      <c r="G34" s="17">
        <v>0.87</v>
      </c>
      <c r="H34" s="17">
        <v>1349</v>
      </c>
      <c r="I34" s="135">
        <v>220</v>
      </c>
      <c r="J34" s="148" t="s">
        <v>221</v>
      </c>
      <c r="K34" s="144" t="s">
        <v>190</v>
      </c>
      <c r="L34" s="144" t="s">
        <v>220</v>
      </c>
      <c r="M34" s="145">
        <v>220</v>
      </c>
      <c r="N34" s="144" t="s">
        <v>221</v>
      </c>
      <c r="O34" s="144" t="s">
        <v>190</v>
      </c>
      <c r="P34" s="144" t="s">
        <v>220</v>
      </c>
      <c r="Q34" s="145">
        <v>220</v>
      </c>
      <c r="R34" s="144" t="s">
        <v>224</v>
      </c>
      <c r="S34" s="144" t="s">
        <v>193</v>
      </c>
      <c r="T34" s="144" t="s">
        <v>229</v>
      </c>
    </row>
    <row r="35" spans="1:20" ht="13.8" thickBot="1" x14ac:dyDescent="0.3">
      <c r="A35" s="17">
        <v>260</v>
      </c>
      <c r="B35" s="18">
        <v>350</v>
      </c>
      <c r="C35" s="17" t="s">
        <v>56</v>
      </c>
      <c r="D35" s="17">
        <v>1790</v>
      </c>
      <c r="E35" s="23"/>
      <c r="F35" s="17">
        <v>0.96</v>
      </c>
      <c r="G35" s="17">
        <v>0.87</v>
      </c>
      <c r="H35" s="17">
        <v>1488</v>
      </c>
      <c r="I35" s="135">
        <v>260</v>
      </c>
      <c r="J35" s="148" t="s">
        <v>221</v>
      </c>
      <c r="K35" s="144" t="s">
        <v>222</v>
      </c>
      <c r="L35" s="144" t="s">
        <v>220</v>
      </c>
      <c r="M35" s="145">
        <v>260</v>
      </c>
      <c r="N35" s="144" t="s">
        <v>222</v>
      </c>
      <c r="O35" s="144" t="s">
        <v>222</v>
      </c>
      <c r="P35" s="144" t="s">
        <v>223</v>
      </c>
      <c r="Q35" s="145">
        <v>260</v>
      </c>
      <c r="R35" s="144" t="s">
        <v>231</v>
      </c>
      <c r="S35" s="144" t="s">
        <v>19</v>
      </c>
      <c r="T35" s="144" t="s">
        <v>229</v>
      </c>
    </row>
    <row r="36" spans="1:20" ht="13.8" thickBot="1" x14ac:dyDescent="0.3">
      <c r="A36" s="17">
        <v>300</v>
      </c>
      <c r="B36" s="18">
        <v>400</v>
      </c>
      <c r="C36" s="17" t="s">
        <v>56</v>
      </c>
      <c r="D36" s="17">
        <v>1790</v>
      </c>
      <c r="E36" s="23"/>
      <c r="F36" s="17">
        <v>0.95899999999999996</v>
      </c>
      <c r="G36" s="17">
        <v>0.88</v>
      </c>
      <c r="H36" s="17">
        <v>1590</v>
      </c>
      <c r="I36" s="135">
        <v>300</v>
      </c>
      <c r="J36" s="148" t="s">
        <v>222</v>
      </c>
      <c r="K36" s="144" t="s">
        <v>222</v>
      </c>
      <c r="L36" s="144" t="s">
        <v>223</v>
      </c>
      <c r="M36" s="145">
        <v>300</v>
      </c>
      <c r="N36" s="144" t="s">
        <v>224</v>
      </c>
      <c r="O36" s="144" t="s">
        <v>192</v>
      </c>
      <c r="P36" s="144" t="s">
        <v>223</v>
      </c>
      <c r="Q36" s="145">
        <v>300</v>
      </c>
      <c r="R36" s="144" t="s">
        <v>231</v>
      </c>
      <c r="S36" s="144" t="s">
        <v>19</v>
      </c>
      <c r="T36" s="146" t="s">
        <v>19</v>
      </c>
    </row>
    <row r="37" spans="1:20" ht="13.8" thickBot="1" x14ac:dyDescent="0.3">
      <c r="A37" s="17">
        <v>330</v>
      </c>
      <c r="B37" s="18">
        <v>450</v>
      </c>
      <c r="C37" s="17" t="s">
        <v>56</v>
      </c>
      <c r="D37" s="17">
        <v>1790</v>
      </c>
      <c r="E37" s="23"/>
      <c r="F37" s="17">
        <v>0.96099999999999997</v>
      </c>
      <c r="G37" s="17">
        <v>0.88</v>
      </c>
      <c r="H37" s="17">
        <v>1702</v>
      </c>
      <c r="I37" s="135">
        <v>330</v>
      </c>
      <c r="J37" s="148" t="s">
        <v>224</v>
      </c>
      <c r="K37" s="144" t="s">
        <v>192</v>
      </c>
      <c r="L37" s="144" t="s">
        <v>223</v>
      </c>
      <c r="M37" s="145">
        <v>330</v>
      </c>
      <c r="N37" s="144" t="s">
        <v>224</v>
      </c>
      <c r="O37" s="144" t="s">
        <v>192</v>
      </c>
      <c r="P37" s="144" t="s">
        <v>229</v>
      </c>
      <c r="Q37" s="145">
        <v>330</v>
      </c>
      <c r="R37" s="144" t="s">
        <v>19</v>
      </c>
      <c r="S37" s="144" t="s">
        <v>19</v>
      </c>
      <c r="T37" s="146" t="s">
        <v>19</v>
      </c>
    </row>
    <row r="38" spans="1:20" ht="13.8" thickBot="1" x14ac:dyDescent="0.3">
      <c r="A38" s="17">
        <v>370</v>
      </c>
      <c r="B38" s="18">
        <v>500</v>
      </c>
      <c r="C38" s="17" t="s">
        <v>57</v>
      </c>
      <c r="D38" s="17">
        <v>1790</v>
      </c>
      <c r="E38" s="23"/>
      <c r="F38" s="17">
        <v>0.96199999999999997</v>
      </c>
      <c r="G38" s="17">
        <v>0.88</v>
      </c>
      <c r="H38" s="17">
        <v>1795</v>
      </c>
      <c r="I38" s="135">
        <v>370</v>
      </c>
      <c r="J38" s="148" t="s">
        <v>224</v>
      </c>
      <c r="K38" s="144" t="s">
        <v>192</v>
      </c>
      <c r="L38" s="144" t="s">
        <v>223</v>
      </c>
      <c r="M38" s="145">
        <v>370</v>
      </c>
      <c r="N38" s="144" t="s">
        <v>224</v>
      </c>
      <c r="O38" s="144" t="s">
        <v>193</v>
      </c>
      <c r="P38" s="144" t="s">
        <v>229</v>
      </c>
      <c r="Q38" s="145">
        <v>370</v>
      </c>
      <c r="R38" s="144" t="s">
        <v>19</v>
      </c>
      <c r="S38" s="144" t="s">
        <v>19</v>
      </c>
      <c r="T38" s="146" t="s">
        <v>19</v>
      </c>
    </row>
  </sheetData>
  <mergeCells count="1">
    <mergeCell ref="F3:G3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4294967293" verticalDpi="4294967293" r:id="rId1"/>
  <headerFooter alignWithMargins="0"/>
  <ignoredErrors>
    <ignoredError sqref="L18:L19 P17:P18 T15:T16" twoDigitTextYear="1"/>
    <ignoredError sqref="J28:K29 K30:K38 J30:J38 K16:K27 K13:K15 K5:K12 O9:O38 O8:P8 O5:O7 N25:N38 S5:S34 R24:R36 J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8" zoomScale="90" workbookViewId="0">
      <selection activeCell="L30" sqref="L30"/>
    </sheetView>
  </sheetViews>
  <sheetFormatPr defaultRowHeight="13.2" x14ac:dyDescent="0.25"/>
  <sheetData/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4294967293" vertic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560111-E6EA-4B5C-A46A-73643A3E2AC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e61996e-cafd-4c9a-8a94-2dc1b82131ae}" enabled="1" method="Standar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11</vt:i4>
      </vt:variant>
    </vt:vector>
  </HeadingPairs>
  <TitlesOfParts>
    <vt:vector size="19" baseType="lpstr">
      <vt:lpstr>PRINCIPAL</vt:lpstr>
      <vt:lpstr>Cabos</vt:lpstr>
      <vt:lpstr>Resistência</vt:lpstr>
      <vt:lpstr>tensão</vt:lpstr>
      <vt:lpstr>Fatores de correção</vt:lpstr>
      <vt:lpstr>CABLES1</vt:lpstr>
      <vt:lpstr>MOTOR</vt:lpstr>
      <vt:lpstr>INSTALAÇÃO</vt:lpstr>
      <vt:lpstr>PRINCIPAL!Area_de_impressao</vt:lpstr>
      <vt:lpstr>CABLES1</vt:lpstr>
      <vt:lpstr>CABLES2</vt:lpstr>
      <vt:lpstr>INSTALAÇÃO!CABLES4</vt:lpstr>
      <vt:lpstr>MOTOR!CABLES4</vt:lpstr>
      <vt:lpstr>D</vt:lpstr>
      <vt:lpstr>MÉTODO</vt:lpstr>
      <vt:lpstr>INSTALAÇÃO!MOTOR</vt:lpstr>
      <vt:lpstr>MOTOR</vt:lpstr>
      <vt:lpstr>NOME</vt:lpstr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2025-08-28T15:13:15Z</dcterms:created>
  <dcterms:modified xsi:type="dcterms:W3CDTF">2025-11-26T17:24:58Z</dcterms:modified>
</cp:coreProperties>
</file>